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aryan_rad_utoronto_ca/Documents/000_University of Toronto/26_Publications/Barry/Submission_Round_2/"/>
    </mc:Choice>
  </mc:AlternateContent>
  <xr:revisionPtr revIDLastSave="0" documentId="8_{58187294-B41B-45D3-BA96-EA772DC672E7}" xr6:coauthVersionLast="47" xr6:coauthVersionMax="47" xr10:uidLastSave="{00000000-0000-0000-0000-000000000000}"/>
  <bookViews>
    <workbookView xWindow="-120" yWindow="-120" windowWidth="29040" windowHeight="15720" xr2:uid="{8FFE320A-88EF-4473-86BC-AA227101226A}"/>
  </bookViews>
  <sheets>
    <sheet name="TTC Database" sheetId="2" r:id="rId1"/>
  </sheets>
  <definedNames>
    <definedName name="D.F.L">#REF!</definedName>
    <definedName name="S.P.F">#REF!</definedName>
    <definedName name="solver_adj" localSheetId="0" hidden="1">'TTC Database'!$S$82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'TTC Database'!$S$55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19" i="2" l="1"/>
  <c r="I19" i="2" s="1"/>
  <c r="Q83" i="2"/>
  <c r="Q82" i="2"/>
  <c r="CH83" i="2"/>
  <c r="BZ83" i="2"/>
  <c r="BV83" i="2"/>
  <c r="BT83" i="2"/>
  <c r="BN83" i="2"/>
  <c r="BM83" i="2"/>
  <c r="AW83" i="2"/>
  <c r="AV83" i="2"/>
  <c r="CH82" i="2"/>
  <c r="BZ82" i="2"/>
  <c r="BV82" i="2"/>
  <c r="BT82" i="2"/>
  <c r="BN82" i="2"/>
  <c r="BM82" i="2"/>
  <c r="AW82" i="2"/>
  <c r="AV82" i="2"/>
  <c r="CH81" i="2"/>
  <c r="BZ81" i="2"/>
  <c r="BV81" i="2"/>
  <c r="BT81" i="2"/>
  <c r="BN81" i="2"/>
  <c r="BM81" i="2"/>
  <c r="CH80" i="2"/>
  <c r="BZ80" i="2"/>
  <c r="BV80" i="2"/>
  <c r="BT80" i="2"/>
  <c r="BN80" i="2"/>
  <c r="BM80" i="2"/>
  <c r="AT82" i="2"/>
  <c r="AT83" i="2"/>
  <c r="AR81" i="2"/>
  <c r="AV81" i="2" s="1"/>
  <c r="AR80" i="2"/>
  <c r="AV80" i="2" s="1"/>
  <c r="AD83" i="2"/>
  <c r="AC83" i="2"/>
  <c r="AA83" i="2"/>
  <c r="AD82" i="2"/>
  <c r="AC82" i="2"/>
  <c r="AA82" i="2"/>
  <c r="AD81" i="2"/>
  <c r="AC81" i="2"/>
  <c r="AA81" i="2"/>
  <c r="AD80" i="2"/>
  <c r="AC80" i="2"/>
  <c r="AA80" i="2"/>
  <c r="W83" i="2"/>
  <c r="BQ83" i="2" s="1"/>
  <c r="W82" i="2"/>
  <c r="BQ82" i="2" s="1"/>
  <c r="W81" i="2"/>
  <c r="BQ81" i="2" s="1"/>
  <c r="W80" i="2"/>
  <c r="BQ80" i="2" s="1"/>
  <c r="Q77" i="2"/>
  <c r="I15" i="2"/>
  <c r="I16" i="2"/>
  <c r="I18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2" i="2"/>
  <c r="I43" i="2"/>
  <c r="I45" i="2"/>
  <c r="I46" i="2"/>
  <c r="I47" i="2"/>
  <c r="I48" i="2"/>
  <c r="I49" i="2"/>
  <c r="I50" i="2"/>
  <c r="I51" i="2"/>
  <c r="I52" i="2"/>
  <c r="I53" i="2"/>
  <c r="I54" i="2"/>
  <c r="I55" i="2"/>
  <c r="I60" i="2"/>
  <c r="I67" i="2"/>
  <c r="I68" i="2"/>
  <c r="I73" i="2"/>
  <c r="I74" i="2"/>
  <c r="I75" i="2"/>
  <c r="I76" i="2"/>
  <c r="I77" i="2"/>
  <c r="I78" i="2"/>
  <c r="I79" i="2"/>
  <c r="AP26" i="2"/>
  <c r="CH18" i="2"/>
  <c r="CH27" i="2"/>
  <c r="CH45" i="2"/>
  <c r="CH46" i="2"/>
  <c r="CH47" i="2"/>
  <c r="CH48" i="2"/>
  <c r="CH49" i="2"/>
  <c r="CH50" i="2"/>
  <c r="CH60" i="2"/>
  <c r="CH67" i="2"/>
  <c r="CH68" i="2"/>
  <c r="CH73" i="2"/>
  <c r="CH74" i="2"/>
  <c r="CH75" i="2"/>
  <c r="CH76" i="2"/>
  <c r="CH77" i="2"/>
  <c r="CH78" i="2"/>
  <c r="CH79" i="2"/>
  <c r="BZ18" i="2"/>
  <c r="BZ27" i="2"/>
  <c r="BZ45" i="2"/>
  <c r="BZ46" i="2"/>
  <c r="BZ47" i="2"/>
  <c r="BZ48" i="2"/>
  <c r="BZ49" i="2"/>
  <c r="BZ50" i="2"/>
  <c r="BZ60" i="2"/>
  <c r="BZ67" i="2"/>
  <c r="BZ68" i="2"/>
  <c r="BZ73" i="2"/>
  <c r="BZ74" i="2"/>
  <c r="BZ75" i="2"/>
  <c r="BZ76" i="2"/>
  <c r="BZ77" i="2"/>
  <c r="BZ78" i="2"/>
  <c r="BZ79" i="2"/>
  <c r="BT5" i="2"/>
  <c r="BH6" i="2"/>
  <c r="BI6" i="2" s="1"/>
  <c r="BM6" i="2"/>
  <c r="BN6" i="2"/>
  <c r="BO6" i="2"/>
  <c r="BP6" i="2"/>
  <c r="BQ6" i="2"/>
  <c r="BT6" i="2"/>
  <c r="BV6" i="2"/>
  <c r="BH7" i="2"/>
  <c r="BI7" i="2" s="1"/>
  <c r="BM7" i="2"/>
  <c r="BN7" i="2"/>
  <c r="BO7" i="2"/>
  <c r="BP7" i="2"/>
  <c r="BQ7" i="2"/>
  <c r="BT7" i="2"/>
  <c r="BV7" i="2"/>
  <c r="BH8" i="2"/>
  <c r="BI8" i="2" s="1"/>
  <c r="BM8" i="2"/>
  <c r="BN8" i="2"/>
  <c r="BO8" i="2"/>
  <c r="BP8" i="2"/>
  <c r="BQ8" i="2"/>
  <c r="BT8" i="2"/>
  <c r="BV8" i="2"/>
  <c r="BH9" i="2"/>
  <c r="BI9" i="2" s="1"/>
  <c r="BM9" i="2"/>
  <c r="BN9" i="2"/>
  <c r="BO9" i="2"/>
  <c r="BP9" i="2"/>
  <c r="BQ9" i="2"/>
  <c r="BT9" i="2"/>
  <c r="BV9" i="2"/>
  <c r="BH10" i="2"/>
  <c r="BI10" i="2" s="1"/>
  <c r="BM10" i="2"/>
  <c r="BN10" i="2"/>
  <c r="BO10" i="2"/>
  <c r="BP10" i="2"/>
  <c r="BQ10" i="2"/>
  <c r="BT10" i="2"/>
  <c r="BV10" i="2"/>
  <c r="BT11" i="2"/>
  <c r="BV11" i="2"/>
  <c r="BT12" i="2"/>
  <c r="BV12" i="2"/>
  <c r="BT13" i="2"/>
  <c r="BV13" i="2"/>
  <c r="BT14" i="2"/>
  <c r="BV14" i="2"/>
  <c r="BM15" i="2"/>
  <c r="BN15" i="2"/>
  <c r="BT15" i="2"/>
  <c r="BV15" i="2"/>
  <c r="BM16" i="2"/>
  <c r="BN16" i="2"/>
  <c r="BT16" i="2"/>
  <c r="BV16" i="2"/>
  <c r="BM17" i="2"/>
  <c r="BN17" i="2"/>
  <c r="BT17" i="2"/>
  <c r="BV17" i="2"/>
  <c r="BM18" i="2"/>
  <c r="BN18" i="2"/>
  <c r="BT18" i="2"/>
  <c r="BV18" i="2"/>
  <c r="BM19" i="2"/>
  <c r="BN19" i="2"/>
  <c r="BT19" i="2"/>
  <c r="BV19" i="2"/>
  <c r="BH20" i="2"/>
  <c r="BP20" i="2"/>
  <c r="BQ20" i="2"/>
  <c r="BT20" i="2"/>
  <c r="BV20" i="2"/>
  <c r="BH21" i="2"/>
  <c r="BI21" i="2" s="1"/>
  <c r="BP21" i="2"/>
  <c r="BQ21" i="2"/>
  <c r="BT21" i="2"/>
  <c r="BV21" i="2"/>
  <c r="BH22" i="2"/>
  <c r="BI22" i="2" s="1"/>
  <c r="BP22" i="2"/>
  <c r="BQ22" i="2"/>
  <c r="BT22" i="2"/>
  <c r="BV22" i="2"/>
  <c r="BH23" i="2"/>
  <c r="BI23" i="2" s="1"/>
  <c r="BP23" i="2"/>
  <c r="BQ23" i="2"/>
  <c r="BT23" i="2"/>
  <c r="BV23" i="2"/>
  <c r="BH24" i="2"/>
  <c r="BI24" i="2" s="1"/>
  <c r="BP24" i="2"/>
  <c r="BQ24" i="2"/>
  <c r="BT24" i="2"/>
  <c r="BV24" i="2"/>
  <c r="BH25" i="2"/>
  <c r="BI25" i="2" s="1"/>
  <c r="BP25" i="2"/>
  <c r="BQ25" i="2"/>
  <c r="BT25" i="2"/>
  <c r="BV25" i="2"/>
  <c r="BH26" i="2"/>
  <c r="BI26" i="2" s="1"/>
  <c r="BP26" i="2"/>
  <c r="BQ26" i="2"/>
  <c r="BT26" i="2"/>
  <c r="BV26" i="2"/>
  <c r="BM27" i="2"/>
  <c r="BN27" i="2"/>
  <c r="BT27" i="2"/>
  <c r="BV27" i="2"/>
  <c r="BM28" i="2"/>
  <c r="BN28" i="2"/>
  <c r="BT28" i="2"/>
  <c r="BV28" i="2"/>
  <c r="BM29" i="2"/>
  <c r="BN29" i="2"/>
  <c r="BT29" i="2"/>
  <c r="BV29" i="2"/>
  <c r="BM30" i="2"/>
  <c r="BN30" i="2"/>
  <c r="BT30" i="2"/>
  <c r="BV30" i="2"/>
  <c r="BM31" i="2"/>
  <c r="BN31" i="2"/>
  <c r="BT31" i="2"/>
  <c r="BV31" i="2"/>
  <c r="BM32" i="2"/>
  <c r="BN32" i="2"/>
  <c r="BT32" i="2"/>
  <c r="BV32" i="2"/>
  <c r="BM33" i="2"/>
  <c r="BN33" i="2"/>
  <c r="BT33" i="2"/>
  <c r="BV33" i="2"/>
  <c r="BM34" i="2"/>
  <c r="BN34" i="2"/>
  <c r="BT34" i="2"/>
  <c r="BV34" i="2"/>
  <c r="BM35" i="2"/>
  <c r="BN35" i="2"/>
  <c r="BT35" i="2"/>
  <c r="BV35" i="2"/>
  <c r="BM36" i="2"/>
  <c r="BN36" i="2"/>
  <c r="BT36" i="2"/>
  <c r="BV36" i="2"/>
  <c r="BM37" i="2"/>
  <c r="BN37" i="2"/>
  <c r="BT37" i="2"/>
  <c r="BV37" i="2"/>
  <c r="BM38" i="2"/>
  <c r="BN38" i="2"/>
  <c r="BT38" i="2"/>
  <c r="BV38" i="2"/>
  <c r="BM39" i="2"/>
  <c r="BN39" i="2"/>
  <c r="BT39" i="2"/>
  <c r="BV39" i="2"/>
  <c r="BM40" i="2"/>
  <c r="BN40" i="2"/>
  <c r="BT40" i="2"/>
  <c r="BV40" i="2"/>
  <c r="BM41" i="2"/>
  <c r="BN41" i="2"/>
  <c r="BT41" i="2"/>
  <c r="BV41" i="2"/>
  <c r="BM42" i="2"/>
  <c r="BN42" i="2"/>
  <c r="BT42" i="2"/>
  <c r="BV42" i="2"/>
  <c r="BM43" i="2"/>
  <c r="BN43" i="2"/>
  <c r="BT43" i="2"/>
  <c r="BV43" i="2"/>
  <c r="BM44" i="2"/>
  <c r="BN44" i="2"/>
  <c r="BT44" i="2"/>
  <c r="BV44" i="2"/>
  <c r="BM45" i="2"/>
  <c r="BN45" i="2"/>
  <c r="BT45" i="2"/>
  <c r="BV45" i="2"/>
  <c r="BM46" i="2"/>
  <c r="BN46" i="2"/>
  <c r="BT46" i="2"/>
  <c r="BV46" i="2"/>
  <c r="BM47" i="2"/>
  <c r="BN47" i="2"/>
  <c r="BT47" i="2"/>
  <c r="BV47" i="2"/>
  <c r="BM48" i="2"/>
  <c r="BN48" i="2"/>
  <c r="BT48" i="2"/>
  <c r="BV48" i="2"/>
  <c r="BM49" i="2"/>
  <c r="BN49" i="2"/>
  <c r="BT49" i="2"/>
  <c r="BV49" i="2"/>
  <c r="BM50" i="2"/>
  <c r="BN50" i="2"/>
  <c r="BT50" i="2"/>
  <c r="BV50" i="2"/>
  <c r="BH51" i="2"/>
  <c r="BI51" i="2" s="1"/>
  <c r="BM51" i="2"/>
  <c r="BN51" i="2"/>
  <c r="BO51" i="2"/>
  <c r="BP51" i="2"/>
  <c r="BQ51" i="2"/>
  <c r="BT51" i="2"/>
  <c r="BV51" i="2"/>
  <c r="BH52" i="2"/>
  <c r="BU52" i="2" s="1"/>
  <c r="BM52" i="2"/>
  <c r="BN52" i="2"/>
  <c r="BO52" i="2"/>
  <c r="BP52" i="2"/>
  <c r="BQ52" i="2"/>
  <c r="BT52" i="2"/>
  <c r="BV52" i="2"/>
  <c r="BH53" i="2"/>
  <c r="BU53" i="2" s="1"/>
  <c r="BM53" i="2"/>
  <c r="BN53" i="2"/>
  <c r="BO53" i="2"/>
  <c r="BP53" i="2"/>
  <c r="BQ53" i="2"/>
  <c r="BT53" i="2"/>
  <c r="BV53" i="2"/>
  <c r="BH54" i="2"/>
  <c r="BI54" i="2" s="1"/>
  <c r="BM54" i="2"/>
  <c r="BN54" i="2"/>
  <c r="BO54" i="2"/>
  <c r="BP54" i="2"/>
  <c r="BQ54" i="2"/>
  <c r="BT54" i="2"/>
  <c r="BV54" i="2"/>
  <c r="BH55" i="2"/>
  <c r="BU55" i="2" s="1"/>
  <c r="BM55" i="2"/>
  <c r="BN55" i="2"/>
  <c r="BO55" i="2"/>
  <c r="BP55" i="2"/>
  <c r="BQ55" i="2"/>
  <c r="BT55" i="2"/>
  <c r="BV55" i="2"/>
  <c r="BH56" i="2"/>
  <c r="BI56" i="2" s="1"/>
  <c r="BM56" i="2"/>
  <c r="BN56" i="2"/>
  <c r="BO56" i="2"/>
  <c r="BP56" i="2"/>
  <c r="BQ56" i="2"/>
  <c r="BT56" i="2"/>
  <c r="BV56" i="2"/>
  <c r="BH57" i="2"/>
  <c r="BI57" i="2" s="1"/>
  <c r="BM57" i="2"/>
  <c r="BN57" i="2"/>
  <c r="BO57" i="2"/>
  <c r="BP57" i="2"/>
  <c r="BQ57" i="2"/>
  <c r="BT57" i="2"/>
  <c r="BV57" i="2"/>
  <c r="BH58" i="2"/>
  <c r="BI58" i="2" s="1"/>
  <c r="BM58" i="2"/>
  <c r="BN58" i="2"/>
  <c r="BO58" i="2"/>
  <c r="BP58" i="2"/>
  <c r="BQ58" i="2"/>
  <c r="BT58" i="2"/>
  <c r="BV58" i="2"/>
  <c r="BH59" i="2"/>
  <c r="BI59" i="2" s="1"/>
  <c r="BM59" i="2"/>
  <c r="BN59" i="2"/>
  <c r="BO59" i="2"/>
  <c r="BP59" i="2"/>
  <c r="BQ59" i="2"/>
  <c r="BT59" i="2"/>
  <c r="BV59" i="2"/>
  <c r="BH60" i="2"/>
  <c r="BI60" i="2" s="1"/>
  <c r="BM60" i="2"/>
  <c r="BN60" i="2"/>
  <c r="BO60" i="2"/>
  <c r="BP60" i="2"/>
  <c r="BQ60" i="2"/>
  <c r="BT60" i="2"/>
  <c r="BV60" i="2"/>
  <c r="BH61" i="2"/>
  <c r="BI61" i="2" s="1"/>
  <c r="BK61" i="2" s="1"/>
  <c r="BL61" i="2" s="1"/>
  <c r="BM61" i="2"/>
  <c r="BN61" i="2"/>
  <c r="BO61" i="2"/>
  <c r="BP61" i="2"/>
  <c r="BQ61" i="2"/>
  <c r="BT61" i="2"/>
  <c r="BV61" i="2"/>
  <c r="BH62" i="2"/>
  <c r="BI62" i="2" s="1"/>
  <c r="BM62" i="2"/>
  <c r="BN62" i="2"/>
  <c r="BO62" i="2"/>
  <c r="BP62" i="2"/>
  <c r="BQ62" i="2"/>
  <c r="BT62" i="2"/>
  <c r="BV62" i="2"/>
  <c r="BM63" i="2"/>
  <c r="BN63" i="2"/>
  <c r="BT63" i="2"/>
  <c r="BV63" i="2"/>
  <c r="BT64" i="2"/>
  <c r="BV64" i="2"/>
  <c r="BT65" i="2"/>
  <c r="BV65" i="2"/>
  <c r="BT66" i="2"/>
  <c r="BV66" i="2"/>
  <c r="BT67" i="2"/>
  <c r="BV67" i="2"/>
  <c r="BT68" i="2"/>
  <c r="BV68" i="2"/>
  <c r="BH69" i="2"/>
  <c r="BI69" i="2" s="1"/>
  <c r="BM69" i="2"/>
  <c r="BN69" i="2"/>
  <c r="BO69" i="2"/>
  <c r="BP69" i="2"/>
  <c r="BQ69" i="2"/>
  <c r="BT69" i="2"/>
  <c r="BV69" i="2"/>
  <c r="BH70" i="2"/>
  <c r="BI70" i="2" s="1"/>
  <c r="BM70" i="2"/>
  <c r="BN70" i="2"/>
  <c r="BO70" i="2"/>
  <c r="BP70" i="2"/>
  <c r="BQ70" i="2"/>
  <c r="BT70" i="2"/>
  <c r="BV70" i="2"/>
  <c r="BM71" i="2"/>
  <c r="BN71" i="2"/>
  <c r="BT71" i="2"/>
  <c r="BV71" i="2"/>
  <c r="BM72" i="2"/>
  <c r="BN72" i="2"/>
  <c r="BT72" i="2"/>
  <c r="BV72" i="2"/>
  <c r="BM73" i="2"/>
  <c r="BN73" i="2"/>
  <c r="BT73" i="2"/>
  <c r="BV73" i="2"/>
  <c r="BM74" i="2"/>
  <c r="BN74" i="2"/>
  <c r="BT74" i="2"/>
  <c r="BV74" i="2"/>
  <c r="BM75" i="2"/>
  <c r="BN75" i="2"/>
  <c r="BT75" i="2"/>
  <c r="BV75" i="2"/>
  <c r="BM76" i="2"/>
  <c r="BN76" i="2"/>
  <c r="BT76" i="2"/>
  <c r="BV76" i="2"/>
  <c r="BM77" i="2"/>
  <c r="BN77" i="2"/>
  <c r="BT77" i="2"/>
  <c r="BV77" i="2"/>
  <c r="BM78" i="2"/>
  <c r="BN78" i="2"/>
  <c r="BT78" i="2"/>
  <c r="BV78" i="2"/>
  <c r="BM79" i="2"/>
  <c r="BN79" i="2"/>
  <c r="BT79" i="2"/>
  <c r="BV79" i="2"/>
  <c r="BM5" i="2"/>
  <c r="BQ5" i="2"/>
  <c r="BP5" i="2"/>
  <c r="BO5" i="2"/>
  <c r="BN5" i="2"/>
  <c r="Q5" i="2"/>
  <c r="AP6" i="2"/>
  <c r="I6" i="2" s="1"/>
  <c r="AP7" i="2"/>
  <c r="I7" i="2" s="1"/>
  <c r="AP8" i="2"/>
  <c r="I8" i="2" s="1"/>
  <c r="AP9" i="2"/>
  <c r="I9" i="2" s="1"/>
  <c r="AP10" i="2"/>
  <c r="I10" i="2" s="1"/>
  <c r="AP5" i="2"/>
  <c r="AZ5" i="2"/>
  <c r="BH5" i="2"/>
  <c r="BI5" i="2" s="1"/>
  <c r="BV5" i="2"/>
  <c r="AZ6" i="2"/>
  <c r="AZ7" i="2"/>
  <c r="AZ8" i="2"/>
  <c r="AZ9" i="2"/>
  <c r="AZ10" i="2"/>
  <c r="AT6" i="2"/>
  <c r="AR6" i="2"/>
  <c r="AS6" i="2" s="1"/>
  <c r="AW6" i="2" s="1"/>
  <c r="AR7" i="2"/>
  <c r="AS7" i="2" s="1"/>
  <c r="AW7" i="2" s="1"/>
  <c r="AR8" i="2"/>
  <c r="AS8" i="2" s="1"/>
  <c r="AW8" i="2" s="1"/>
  <c r="AR9" i="2"/>
  <c r="AV9" i="2" s="1"/>
  <c r="AR10" i="2"/>
  <c r="AS10" i="2" s="1"/>
  <c r="AW10" i="2" s="1"/>
  <c r="AR5" i="2"/>
  <c r="AV5" i="2" s="1"/>
  <c r="AO6" i="2"/>
  <c r="AO7" i="2"/>
  <c r="AO8" i="2"/>
  <c r="AO9" i="2"/>
  <c r="AO10" i="2"/>
  <c r="AO5" i="2"/>
  <c r="AM6" i="2"/>
  <c r="AM7" i="2" s="1"/>
  <c r="AM8" i="2" s="1"/>
  <c r="AM9" i="2" s="1"/>
  <c r="AM10" i="2" s="1"/>
  <c r="AD5" i="2"/>
  <c r="AD6" i="2"/>
  <c r="AD7" i="2"/>
  <c r="AD8" i="2"/>
  <c r="AD9" i="2"/>
  <c r="AD10" i="2"/>
  <c r="AC6" i="2"/>
  <c r="AC7" i="2"/>
  <c r="AC8" i="2"/>
  <c r="AC9" i="2"/>
  <c r="AC10" i="2"/>
  <c r="AC5" i="2"/>
  <c r="Z6" i="2"/>
  <c r="AA6" i="2" s="1"/>
  <c r="Z7" i="2"/>
  <c r="Z8" i="2"/>
  <c r="AA8" i="2" s="1"/>
  <c r="Z9" i="2"/>
  <c r="Z10" i="2"/>
  <c r="AA10" i="2" s="1"/>
  <c r="Z5" i="2"/>
  <c r="W48" i="2"/>
  <c r="AZ48" i="2" s="1"/>
  <c r="AA48" i="2"/>
  <c r="AC48" i="2"/>
  <c r="AD48" i="2"/>
  <c r="AR48" i="2"/>
  <c r="AV48" i="2" s="1"/>
  <c r="W49" i="2"/>
  <c r="AA49" i="2"/>
  <c r="AC49" i="2"/>
  <c r="AD49" i="2"/>
  <c r="AR49" i="2"/>
  <c r="W50" i="2"/>
  <c r="AA50" i="2"/>
  <c r="AC50" i="2"/>
  <c r="AD50" i="2"/>
  <c r="AR50" i="2"/>
  <c r="AV50" i="2" s="1"/>
  <c r="AR42" i="2"/>
  <c r="AV42" i="2" s="1"/>
  <c r="AS42" i="2"/>
  <c r="AW42" i="2" s="1"/>
  <c r="AR43" i="2"/>
  <c r="AV43" i="2" s="1"/>
  <c r="AS43" i="2"/>
  <c r="AW43" i="2" s="1"/>
  <c r="AC43" i="2"/>
  <c r="W43" i="2"/>
  <c r="BP43" i="2" s="1"/>
  <c r="AC42" i="2"/>
  <c r="W42" i="2"/>
  <c r="BO42" i="2" s="1"/>
  <c r="Q43" i="2"/>
  <c r="Q42" i="2"/>
  <c r="Q41" i="2"/>
  <c r="AP72" i="2"/>
  <c r="I72" i="2" s="1"/>
  <c r="AP71" i="2"/>
  <c r="I71" i="2" s="1"/>
  <c r="AO71" i="2"/>
  <c r="AO72" i="2"/>
  <c r="Q27" i="2"/>
  <c r="Q19" i="2"/>
  <c r="Q12" i="2"/>
  <c r="Q11" i="2"/>
  <c r="Q14" i="2"/>
  <c r="Q13" i="2"/>
  <c r="AC11" i="2"/>
  <c r="AC12" i="2" s="1"/>
  <c r="AC13" i="2" s="1"/>
  <c r="AC14" i="2" s="1"/>
  <c r="AP70" i="2"/>
  <c r="I70" i="2" s="1"/>
  <c r="AP69" i="2"/>
  <c r="I69" i="2" s="1"/>
  <c r="AP66" i="2"/>
  <c r="I66" i="2" s="1"/>
  <c r="AP65" i="2"/>
  <c r="I65" i="2" s="1"/>
  <c r="AP64" i="2"/>
  <c r="I64" i="2" s="1"/>
  <c r="AP63" i="2"/>
  <c r="I63" i="2" s="1"/>
  <c r="AP62" i="2"/>
  <c r="I62" i="2" s="1"/>
  <c r="AP61" i="2"/>
  <c r="I61" i="2" s="1"/>
  <c r="AP59" i="2"/>
  <c r="I59" i="2" s="1"/>
  <c r="AP58" i="2"/>
  <c r="I58" i="2" s="1"/>
  <c r="AP57" i="2"/>
  <c r="I57" i="2" s="1"/>
  <c r="AP56" i="2"/>
  <c r="I56" i="2" s="1"/>
  <c r="AP44" i="2"/>
  <c r="I44" i="2" s="1"/>
  <c r="AP41" i="2"/>
  <c r="I41" i="2" s="1"/>
  <c r="AP40" i="2"/>
  <c r="I40" i="2" s="1"/>
  <c r="AP25" i="2"/>
  <c r="I25" i="2" s="1"/>
  <c r="AP24" i="2"/>
  <c r="I24" i="2" s="1"/>
  <c r="AP23" i="2"/>
  <c r="I23" i="2" s="1"/>
  <c r="AP22" i="2"/>
  <c r="I22" i="2" s="1"/>
  <c r="AP21" i="2"/>
  <c r="I21" i="2" s="1"/>
  <c r="AP20" i="2"/>
  <c r="I20" i="2" s="1"/>
  <c r="AP17" i="2"/>
  <c r="I17" i="2" s="1"/>
  <c r="AP14" i="2"/>
  <c r="I14" i="2" s="1"/>
  <c r="AP13" i="2"/>
  <c r="I13" i="2" s="1"/>
  <c r="AP12" i="2"/>
  <c r="I12" i="2" s="1"/>
  <c r="AP11" i="2"/>
  <c r="I11" i="2" s="1"/>
  <c r="Q79" i="2"/>
  <c r="Q78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47" i="2"/>
  <c r="Q46" i="2"/>
  <c r="Q45" i="2"/>
  <c r="Q44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6" i="2"/>
  <c r="Q25" i="2"/>
  <c r="Q24" i="2"/>
  <c r="Q23" i="2"/>
  <c r="Q22" i="2"/>
  <c r="Q21" i="2"/>
  <c r="Q20" i="2"/>
  <c r="Q18" i="2"/>
  <c r="Q17" i="2"/>
  <c r="Q16" i="2"/>
  <c r="Q15" i="2"/>
  <c r="AD55" i="2"/>
  <c r="AC55" i="2"/>
  <c r="AD54" i="2"/>
  <c r="AC54" i="2"/>
  <c r="AD53" i="2"/>
  <c r="AC53" i="2"/>
  <c r="AD52" i="2"/>
  <c r="AC52" i="2"/>
  <c r="AC51" i="2"/>
  <c r="AD51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4" i="2"/>
  <c r="AC45" i="2"/>
  <c r="AC46" i="2"/>
  <c r="AC47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O13" i="2"/>
  <c r="AO11" i="2"/>
  <c r="AO14" i="2"/>
  <c r="AO12" i="2"/>
  <c r="AZ51" i="2"/>
  <c r="AZ52" i="2"/>
  <c r="AZ53" i="2"/>
  <c r="AZ54" i="2"/>
  <c r="AZ55" i="2"/>
  <c r="AZ56" i="2"/>
  <c r="AR51" i="2"/>
  <c r="AV51" i="2" s="1"/>
  <c r="AR52" i="2"/>
  <c r="AV52" i="2" s="1"/>
  <c r="AR53" i="2"/>
  <c r="AV53" i="2" s="1"/>
  <c r="AR54" i="2"/>
  <c r="AV54" i="2" s="1"/>
  <c r="AR55" i="2"/>
  <c r="AV55" i="2" s="1"/>
  <c r="AZ20" i="2"/>
  <c r="AZ21" i="2"/>
  <c r="AZ22" i="2"/>
  <c r="AZ23" i="2"/>
  <c r="AZ24" i="2"/>
  <c r="AZ25" i="2"/>
  <c r="AZ26" i="2"/>
  <c r="AS26" i="2"/>
  <c r="AR26" i="2" s="1"/>
  <c r="AT26" i="2" s="1"/>
  <c r="AS25" i="2"/>
  <c r="AW25" i="2" s="1"/>
  <c r="AS24" i="2"/>
  <c r="AR24" i="2" s="1"/>
  <c r="AT24" i="2" s="1"/>
  <c r="AS23" i="2"/>
  <c r="AW23" i="2" s="1"/>
  <c r="AS22" i="2"/>
  <c r="AW22" i="2" s="1"/>
  <c r="AS21" i="2"/>
  <c r="AW21" i="2" s="1"/>
  <c r="AO27" i="2"/>
  <c r="AC21" i="2"/>
  <c r="AC22" i="2"/>
  <c r="AC23" i="2"/>
  <c r="AC24" i="2"/>
  <c r="AC25" i="2"/>
  <c r="AC26" i="2"/>
  <c r="AC20" i="2"/>
  <c r="Y21" i="2"/>
  <c r="BM21" i="2" s="1"/>
  <c r="Y22" i="2"/>
  <c r="BO22" i="2" s="1"/>
  <c r="Y23" i="2"/>
  <c r="Y24" i="2"/>
  <c r="Y25" i="2"/>
  <c r="Y26" i="2"/>
  <c r="BM26" i="2" s="1"/>
  <c r="Y20" i="2"/>
  <c r="BM20" i="2" s="1"/>
  <c r="AS20" i="2"/>
  <c r="AW20" i="2" s="1"/>
  <c r="AG21" i="2"/>
  <c r="AG22" i="2"/>
  <c r="AG23" i="2"/>
  <c r="AG24" i="2"/>
  <c r="AG25" i="2"/>
  <c r="AG26" i="2"/>
  <c r="AG27" i="2"/>
  <c r="AG28" i="2"/>
  <c r="AG20" i="2"/>
  <c r="AR18" i="2"/>
  <c r="AV18" i="2" s="1"/>
  <c r="AR17" i="2"/>
  <c r="AR16" i="2"/>
  <c r="AV16" i="2" s="1"/>
  <c r="AD15" i="2"/>
  <c r="AD16" i="2"/>
  <c r="AD17" i="2"/>
  <c r="AD18" i="2"/>
  <c r="AC16" i="2"/>
  <c r="AC17" i="2"/>
  <c r="AC18" i="2"/>
  <c r="AC15" i="2"/>
  <c r="AR15" i="2"/>
  <c r="AS15" i="2" s="1"/>
  <c r="AW15" i="2" s="1"/>
  <c r="W16" i="2"/>
  <c r="AZ16" i="2" s="1"/>
  <c r="W17" i="2"/>
  <c r="AZ17" i="2" s="1"/>
  <c r="W18" i="2"/>
  <c r="BH18" i="2" s="1"/>
  <c r="W15" i="2"/>
  <c r="BO15" i="2" s="1"/>
  <c r="AV70" i="2"/>
  <c r="AR69" i="2"/>
  <c r="AS69" i="2" s="1"/>
  <c r="AD69" i="2"/>
  <c r="AD70" i="2"/>
  <c r="AD71" i="2"/>
  <c r="AA70" i="2"/>
  <c r="AA69" i="2"/>
  <c r="AZ57" i="2"/>
  <c r="AZ58" i="2"/>
  <c r="AZ59" i="2"/>
  <c r="AZ60" i="2"/>
  <c r="AZ61" i="2"/>
  <c r="AZ62" i="2"/>
  <c r="AR57" i="2"/>
  <c r="AV57" i="2" s="1"/>
  <c r="AR58" i="2"/>
  <c r="AS58" i="2" s="1"/>
  <c r="AW58" i="2" s="1"/>
  <c r="AR59" i="2"/>
  <c r="AS59" i="2" s="1"/>
  <c r="AW59" i="2" s="1"/>
  <c r="AR60" i="2"/>
  <c r="AS60" i="2" s="1"/>
  <c r="AW60" i="2" s="1"/>
  <c r="AR61" i="2"/>
  <c r="AV61" i="2" s="1"/>
  <c r="AR62" i="2"/>
  <c r="AV62" i="2" s="1"/>
  <c r="AR56" i="2"/>
  <c r="AS56" i="2" s="1"/>
  <c r="AW56" i="2" s="1"/>
  <c r="AD56" i="2"/>
  <c r="AD57" i="2"/>
  <c r="AD58" i="2"/>
  <c r="AD59" i="2"/>
  <c r="AD60" i="2"/>
  <c r="AD61" i="2"/>
  <c r="AD62" i="2"/>
  <c r="AR33" i="2"/>
  <c r="AZ69" i="2"/>
  <c r="AZ70" i="2"/>
  <c r="W40" i="2"/>
  <c r="BH40" i="2" s="1"/>
  <c r="W41" i="2"/>
  <c r="BO41" i="2" s="1"/>
  <c r="W44" i="2"/>
  <c r="BH44" i="2" s="1"/>
  <c r="W28" i="2"/>
  <c r="BO28" i="2" s="1"/>
  <c r="W29" i="2"/>
  <c r="BO29" i="2" s="1"/>
  <c r="W30" i="2"/>
  <c r="BQ30" i="2" s="1"/>
  <c r="W31" i="2"/>
  <c r="BH31" i="2" s="1"/>
  <c r="BU31" i="2" s="1"/>
  <c r="W32" i="2"/>
  <c r="BH32" i="2" s="1"/>
  <c r="W33" i="2"/>
  <c r="BH33" i="2" s="1"/>
  <c r="W34" i="2"/>
  <c r="BH34" i="2" s="1"/>
  <c r="BU34" i="2" s="1"/>
  <c r="W35" i="2"/>
  <c r="BO35" i="2" s="1"/>
  <c r="W36" i="2"/>
  <c r="BP36" i="2" s="1"/>
  <c r="W37" i="2"/>
  <c r="BQ37" i="2" s="1"/>
  <c r="W38" i="2"/>
  <c r="BH38" i="2" s="1"/>
  <c r="W39" i="2"/>
  <c r="BH39" i="2" s="1"/>
  <c r="BU39" i="2" s="1"/>
  <c r="W45" i="2"/>
  <c r="BH45" i="2" s="1"/>
  <c r="W46" i="2"/>
  <c r="BH46" i="2" s="1"/>
  <c r="W47" i="2"/>
  <c r="BH47" i="2" s="1"/>
  <c r="BU47" i="2" s="1"/>
  <c r="W63" i="2"/>
  <c r="BO63" i="2" s="1"/>
  <c r="W64" i="2"/>
  <c r="BQ64" i="2" s="1"/>
  <c r="W65" i="2"/>
  <c r="BP65" i="2" s="1"/>
  <c r="W66" i="2"/>
  <c r="BQ66" i="2" s="1"/>
  <c r="W67" i="2"/>
  <c r="BH67" i="2" s="1"/>
  <c r="W68" i="2"/>
  <c r="BH68" i="2" s="1"/>
  <c r="W71" i="2"/>
  <c r="BH71" i="2" s="1"/>
  <c r="BU71" i="2" s="1"/>
  <c r="W72" i="2"/>
  <c r="BO72" i="2" s="1"/>
  <c r="W73" i="2"/>
  <c r="BO73" i="2" s="1"/>
  <c r="W74" i="2"/>
  <c r="BO74" i="2" s="1"/>
  <c r="W75" i="2"/>
  <c r="BO75" i="2" s="1"/>
  <c r="W76" i="2"/>
  <c r="AZ76" i="2" s="1"/>
  <c r="W77" i="2"/>
  <c r="AZ77" i="2" s="1"/>
  <c r="W78" i="2"/>
  <c r="BQ78" i="2" s="1"/>
  <c r="W79" i="2"/>
  <c r="BQ79" i="2" s="1"/>
  <c r="W27" i="2"/>
  <c r="W11" i="2"/>
  <c r="BH11" i="2" s="1"/>
  <c r="W12" i="2"/>
  <c r="BH12" i="2" s="1"/>
  <c r="W13" i="2"/>
  <c r="BH13" i="2" s="1"/>
  <c r="W14" i="2"/>
  <c r="BP14" i="2" s="1"/>
  <c r="W19" i="2"/>
  <c r="AZ19" i="2" s="1"/>
  <c r="AA45" i="2"/>
  <c r="AA46" i="2"/>
  <c r="AR12" i="2"/>
  <c r="AV12" i="2" s="1"/>
  <c r="AR13" i="2"/>
  <c r="AS13" i="2" s="1"/>
  <c r="AW13" i="2" s="1"/>
  <c r="AR14" i="2"/>
  <c r="AV14" i="2" s="1"/>
  <c r="AR11" i="2"/>
  <c r="AV11" i="2" s="1"/>
  <c r="AA14" i="2"/>
  <c r="Y14" i="2"/>
  <c r="BM14" i="2" s="1"/>
  <c r="AA13" i="2"/>
  <c r="Y13" i="2"/>
  <c r="BM13" i="2" s="1"/>
  <c r="AA12" i="2"/>
  <c r="Y12" i="2"/>
  <c r="AA11" i="2"/>
  <c r="Y11" i="2"/>
  <c r="BM11" i="2" s="1"/>
  <c r="AS27" i="2"/>
  <c r="AW27" i="2" s="1"/>
  <c r="AR27" i="2"/>
  <c r="AV27" i="2" s="1"/>
  <c r="AC27" i="2"/>
  <c r="AD27" i="2"/>
  <c r="AA27" i="2"/>
  <c r="AA75" i="2"/>
  <c r="AD75" i="2"/>
  <c r="AR75" i="2"/>
  <c r="AV75" i="2" s="1"/>
  <c r="AA76" i="2"/>
  <c r="AD76" i="2"/>
  <c r="AR76" i="2"/>
  <c r="AS76" i="2" s="1"/>
  <c r="AT76" i="2" s="1"/>
  <c r="AA77" i="2"/>
  <c r="AD77" i="2"/>
  <c r="AR77" i="2"/>
  <c r="AS77" i="2" s="1"/>
  <c r="AW77" i="2" s="1"/>
  <c r="AA78" i="2"/>
  <c r="AD78" i="2"/>
  <c r="AR78" i="2"/>
  <c r="AV78" i="2" s="1"/>
  <c r="AA79" i="2"/>
  <c r="AD79" i="2"/>
  <c r="AR79" i="2"/>
  <c r="AV79" i="2" s="1"/>
  <c r="AR74" i="2"/>
  <c r="AV74" i="2" s="1"/>
  <c r="AD74" i="2"/>
  <c r="AA74" i="2"/>
  <c r="BO81" i="2" l="1"/>
  <c r="BP81" i="2"/>
  <c r="AS80" i="2"/>
  <c r="AT80" i="2" s="1"/>
  <c r="BH81" i="2"/>
  <c r="BI81" i="2" s="1"/>
  <c r="BK81" i="2" s="1"/>
  <c r="AS81" i="2"/>
  <c r="AW80" i="2"/>
  <c r="BH80" i="2"/>
  <c r="BU80" i="2" s="1"/>
  <c r="AZ81" i="2"/>
  <c r="AZ82" i="2"/>
  <c r="AZ80" i="2"/>
  <c r="BH82" i="2"/>
  <c r="BI82" i="2" s="1"/>
  <c r="BJ82" i="2" s="1"/>
  <c r="AZ83" i="2"/>
  <c r="BO80" i="2"/>
  <c r="BH83" i="2"/>
  <c r="BI83" i="2" s="1"/>
  <c r="BK83" i="2" s="1"/>
  <c r="BP80" i="2"/>
  <c r="BO82" i="2"/>
  <c r="BP82" i="2"/>
  <c r="BO83" i="2"/>
  <c r="BP83" i="2"/>
  <c r="BU21" i="2"/>
  <c r="BY21" i="2" s="1"/>
  <c r="BZ21" i="2" s="1"/>
  <c r="I26" i="2"/>
  <c r="BU23" i="2"/>
  <c r="BU59" i="2"/>
  <c r="BY59" i="2" s="1"/>
  <c r="BZ59" i="2" s="1"/>
  <c r="BU7" i="2"/>
  <c r="BY7" i="2" s="1"/>
  <c r="BZ7" i="2" s="1"/>
  <c r="BI55" i="2"/>
  <c r="BJ55" i="2" s="1"/>
  <c r="BU56" i="2"/>
  <c r="BY56" i="2" s="1"/>
  <c r="BZ56" i="2" s="1"/>
  <c r="BU5" i="2"/>
  <c r="BY5" i="2" s="1"/>
  <c r="BZ5" i="2" s="1"/>
  <c r="BU25" i="2"/>
  <c r="BY25" i="2" s="1"/>
  <c r="BZ25" i="2" s="1"/>
  <c r="BU24" i="2"/>
  <c r="BY24" i="2" s="1"/>
  <c r="BZ24" i="2" s="1"/>
  <c r="BU58" i="2"/>
  <c r="BI52" i="2"/>
  <c r="BJ52" i="2" s="1"/>
  <c r="BJ22" i="2"/>
  <c r="BK5" i="2"/>
  <c r="AY5" i="2" s="1"/>
  <c r="BU69" i="2"/>
  <c r="BY69" i="2" s="1"/>
  <c r="BZ69" i="2" s="1"/>
  <c r="BP31" i="2"/>
  <c r="BJ62" i="2"/>
  <c r="BU57" i="2"/>
  <c r="BY57" i="2" s="1"/>
  <c r="BZ57" i="2" s="1"/>
  <c r="BP79" i="2"/>
  <c r="BO77" i="2"/>
  <c r="BR61" i="2"/>
  <c r="BQ45" i="2"/>
  <c r="BQ38" i="2"/>
  <c r="BO36" i="2"/>
  <c r="BU26" i="2"/>
  <c r="BY26" i="2" s="1"/>
  <c r="BZ26" i="2" s="1"/>
  <c r="BU11" i="2"/>
  <c r="BO79" i="2"/>
  <c r="BO50" i="2"/>
  <c r="BH48" i="2"/>
  <c r="BU48" i="2" s="1"/>
  <c r="BP45" i="2"/>
  <c r="BO43" i="2"/>
  <c r="BH41" i="2"/>
  <c r="BI41" i="2" s="1"/>
  <c r="BK41" i="2" s="1"/>
  <c r="BL41" i="2" s="1"/>
  <c r="BP38" i="2"/>
  <c r="BI34" i="2"/>
  <c r="BJ34" i="2" s="1"/>
  <c r="BU60" i="2"/>
  <c r="BI53" i="2"/>
  <c r="BK53" i="2" s="1"/>
  <c r="BL53" i="2" s="1"/>
  <c r="BR53" i="2" s="1"/>
  <c r="BP64" i="2"/>
  <c r="BU51" i="2"/>
  <c r="BN22" i="2"/>
  <c r="BH72" i="2"/>
  <c r="BU72" i="2" s="1"/>
  <c r="BP30" i="2"/>
  <c r="BJ26" i="2"/>
  <c r="BM22" i="2"/>
  <c r="BQ17" i="2"/>
  <c r="BP76" i="2"/>
  <c r="BJ54" i="2"/>
  <c r="BO30" i="2"/>
  <c r="BH28" i="2"/>
  <c r="BU28" i="2" s="1"/>
  <c r="BI13" i="2"/>
  <c r="BP78" i="2"/>
  <c r="BO76" i="2"/>
  <c r="BH74" i="2"/>
  <c r="BI74" i="2" s="1"/>
  <c r="BJ74" i="2" s="1"/>
  <c r="BK70" i="2"/>
  <c r="BL70" i="2" s="1"/>
  <c r="BR70" i="2" s="1"/>
  <c r="BQ44" i="2"/>
  <c r="BP37" i="2"/>
  <c r="BO78" i="2"/>
  <c r="BJ59" i="2"/>
  <c r="BP44" i="2"/>
  <c r="BO37" i="2"/>
  <c r="BO44" i="2"/>
  <c r="BO23" i="2"/>
  <c r="BH14" i="2"/>
  <c r="BI14" i="2" s="1"/>
  <c r="BN23" i="2"/>
  <c r="BP16" i="2"/>
  <c r="BU9" i="2"/>
  <c r="BY9" i="2" s="1"/>
  <c r="BZ9" i="2" s="1"/>
  <c r="BU70" i="2"/>
  <c r="BP66" i="2"/>
  <c r="BJ51" i="2"/>
  <c r="BQ31" i="2"/>
  <c r="BH27" i="2"/>
  <c r="BU27" i="2" s="1"/>
  <c r="BK25" i="2"/>
  <c r="BL25" i="2" s="1"/>
  <c r="BJ23" i="2"/>
  <c r="BO16" i="2"/>
  <c r="BJ6" i="2"/>
  <c r="BU40" i="2"/>
  <c r="BK57" i="2"/>
  <c r="BL57" i="2" s="1"/>
  <c r="BR57" i="2" s="1"/>
  <c r="BJ57" i="2"/>
  <c r="BU33" i="2"/>
  <c r="BU12" i="2"/>
  <c r="BU32" i="2"/>
  <c r="BJ25" i="2"/>
  <c r="BU46" i="2"/>
  <c r="BU45" i="2"/>
  <c r="BU18" i="2"/>
  <c r="BU44" i="2"/>
  <c r="BU38" i="2"/>
  <c r="BK62" i="2"/>
  <c r="BL62" i="2" s="1"/>
  <c r="BR62" i="2" s="1"/>
  <c r="BP67" i="2"/>
  <c r="BH75" i="2"/>
  <c r="BH73" i="2"/>
  <c r="BQ68" i="2"/>
  <c r="BH63" i="2"/>
  <c r="BU63" i="2" s="1"/>
  <c r="BU61" i="2"/>
  <c r="BJ56" i="2"/>
  <c r="BU54" i="2"/>
  <c r="BH49" i="2"/>
  <c r="BQ46" i="2"/>
  <c r="BO45" i="2"/>
  <c r="BQ39" i="2"/>
  <c r="BO38" i="2"/>
  <c r="BQ32" i="2"/>
  <c r="BO31" i="2"/>
  <c r="BO24" i="2"/>
  <c r="BM23" i="2"/>
  <c r="BK22" i="2"/>
  <c r="BP18" i="2"/>
  <c r="BH15" i="2"/>
  <c r="BU13" i="2"/>
  <c r="BP11" i="2"/>
  <c r="BJ9" i="2"/>
  <c r="BJ8" i="2"/>
  <c r="BU6" i="2"/>
  <c r="BY6" i="2" s="1"/>
  <c r="BZ6" i="2" s="1"/>
  <c r="BP68" i="2"/>
  <c r="BH50" i="2"/>
  <c r="BP46" i="2"/>
  <c r="BH43" i="2"/>
  <c r="BU43" i="2" s="1"/>
  <c r="BP39" i="2"/>
  <c r="BH36" i="2"/>
  <c r="BQ33" i="2"/>
  <c r="BP32" i="2"/>
  <c r="BH29" i="2"/>
  <c r="BI29" i="2" s="1"/>
  <c r="BK29" i="2" s="1"/>
  <c r="BL29" i="2" s="1"/>
  <c r="BR29" i="2" s="1"/>
  <c r="BO25" i="2"/>
  <c r="BN24" i="2"/>
  <c r="BU20" i="2"/>
  <c r="BQ19" i="2"/>
  <c r="BO18" i="2"/>
  <c r="BQ12" i="2"/>
  <c r="BJ21" i="2"/>
  <c r="BQ67" i="2"/>
  <c r="BH35" i="2"/>
  <c r="BU35" i="2" s="1"/>
  <c r="BQ18" i="2"/>
  <c r="BH78" i="2"/>
  <c r="BI78" i="2" s="1"/>
  <c r="BJ78" i="2" s="1"/>
  <c r="BH76" i="2"/>
  <c r="BI76" i="2" s="1"/>
  <c r="BK76" i="2" s="1"/>
  <c r="BL76" i="2" s="1"/>
  <c r="BQ71" i="2"/>
  <c r="BH66" i="2"/>
  <c r="BH64" i="2"/>
  <c r="BU62" i="2"/>
  <c r="BJ58" i="2"/>
  <c r="BQ47" i="2"/>
  <c r="BO46" i="2"/>
  <c r="BI44" i="2"/>
  <c r="BJ44" i="2" s="1"/>
  <c r="BQ40" i="2"/>
  <c r="BO39" i="2"/>
  <c r="BP33" i="2"/>
  <c r="BO32" i="2"/>
  <c r="BH30" i="2"/>
  <c r="BI30" i="2" s="1"/>
  <c r="BJ30" i="2" s="1"/>
  <c r="BN25" i="2"/>
  <c r="BM24" i="2"/>
  <c r="BP19" i="2"/>
  <c r="BH16" i="2"/>
  <c r="BI16" i="2" s="1"/>
  <c r="BK16" i="2" s="1"/>
  <c r="BL16" i="2" s="1"/>
  <c r="BQ13" i="2"/>
  <c r="BP12" i="2"/>
  <c r="BJ10" i="2"/>
  <c r="BK9" i="2"/>
  <c r="BL9" i="2" s="1"/>
  <c r="BR9" i="2" s="1"/>
  <c r="BQ73" i="2"/>
  <c r="BP71" i="2"/>
  <c r="BI67" i="2"/>
  <c r="BK58" i="2"/>
  <c r="BL58" i="2" s="1"/>
  <c r="BR58" i="2" s="1"/>
  <c r="BP47" i="2"/>
  <c r="BQ41" i="2"/>
  <c r="BP40" i="2"/>
  <c r="BI38" i="2"/>
  <c r="BJ38" i="2" s="1"/>
  <c r="BH37" i="2"/>
  <c r="BQ34" i="2"/>
  <c r="BO33" i="2"/>
  <c r="BI31" i="2"/>
  <c r="BJ31" i="2" s="1"/>
  <c r="BQ27" i="2"/>
  <c r="BO26" i="2"/>
  <c r="BM25" i="2"/>
  <c r="BO19" i="2"/>
  <c r="BP13" i="2"/>
  <c r="BK10" i="2"/>
  <c r="BL10" i="2" s="1"/>
  <c r="BR10" i="2" s="1"/>
  <c r="BK21" i="2"/>
  <c r="BL21" i="2" s="1"/>
  <c r="BH42" i="2"/>
  <c r="BI42" i="2" s="1"/>
  <c r="BJ42" i="2" s="1"/>
  <c r="BQ11" i="2"/>
  <c r="BH79" i="2"/>
  <c r="BI79" i="2" s="1"/>
  <c r="BJ79" i="2" s="1"/>
  <c r="BH77" i="2"/>
  <c r="BQ74" i="2"/>
  <c r="BP73" i="2"/>
  <c r="BQ72" i="2"/>
  <c r="BO71" i="2"/>
  <c r="BH65" i="2"/>
  <c r="BQ48" i="2"/>
  <c r="BO47" i="2"/>
  <c r="BI45" i="2"/>
  <c r="BK45" i="2" s="1"/>
  <c r="BL45" i="2" s="1"/>
  <c r="BP41" i="2"/>
  <c r="BO40" i="2"/>
  <c r="BP34" i="2"/>
  <c r="BP27" i="2"/>
  <c r="BN26" i="2"/>
  <c r="BJ24" i="2"/>
  <c r="BU22" i="2"/>
  <c r="BI18" i="2"/>
  <c r="BJ18" i="2" s="1"/>
  <c r="BH17" i="2"/>
  <c r="BQ14" i="2"/>
  <c r="BI11" i="2"/>
  <c r="BU8" i="2"/>
  <c r="BJ7" i="2"/>
  <c r="BP17" i="2"/>
  <c r="BP74" i="2"/>
  <c r="BP72" i="2"/>
  <c r="BJ70" i="2"/>
  <c r="BK69" i="2"/>
  <c r="BL69" i="2" s="1"/>
  <c r="BR69" i="2" s="1"/>
  <c r="BI68" i="2"/>
  <c r="BQ49" i="2"/>
  <c r="BP48" i="2"/>
  <c r="BI46" i="2"/>
  <c r="BJ46" i="2" s="1"/>
  <c r="BQ42" i="2"/>
  <c r="BI39" i="2"/>
  <c r="BJ39" i="2" s="1"/>
  <c r="BQ35" i="2"/>
  <c r="BO34" i="2"/>
  <c r="BI32" i="2"/>
  <c r="BJ32" i="2" s="1"/>
  <c r="BQ28" i="2"/>
  <c r="BO27" i="2"/>
  <c r="BO20" i="2"/>
  <c r="BM12" i="2"/>
  <c r="BO17" i="2"/>
  <c r="BQ75" i="2"/>
  <c r="BJ69" i="2"/>
  <c r="BQ63" i="2"/>
  <c r="BP49" i="2"/>
  <c r="BO48" i="2"/>
  <c r="BP42" i="2"/>
  <c r="BP35" i="2"/>
  <c r="BQ29" i="2"/>
  <c r="BP28" i="2"/>
  <c r="BO21" i="2"/>
  <c r="BN20" i="2"/>
  <c r="BQ15" i="2"/>
  <c r="BI12" i="2"/>
  <c r="BQ77" i="2"/>
  <c r="BP75" i="2"/>
  <c r="BI71" i="2"/>
  <c r="BJ71" i="2" s="1"/>
  <c r="BQ65" i="2"/>
  <c r="BP63" i="2"/>
  <c r="BJ61" i="2"/>
  <c r="BJ60" i="2"/>
  <c r="BQ50" i="2"/>
  <c r="BO49" i="2"/>
  <c r="BI47" i="2"/>
  <c r="BJ47" i="2" s="1"/>
  <c r="BQ43" i="2"/>
  <c r="BI40" i="2"/>
  <c r="BJ40" i="2" s="1"/>
  <c r="BQ36" i="2"/>
  <c r="BI33" i="2"/>
  <c r="BK33" i="2" s="1"/>
  <c r="BL33" i="2" s="1"/>
  <c r="BP29" i="2"/>
  <c r="BK26" i="2"/>
  <c r="BL26" i="2" s="1"/>
  <c r="BN21" i="2"/>
  <c r="BH19" i="2"/>
  <c r="BU19" i="2" s="1"/>
  <c r="BP15" i="2"/>
  <c r="BU10" i="2"/>
  <c r="BY10" i="2" s="1"/>
  <c r="BZ10" i="2" s="1"/>
  <c r="BJ5" i="2"/>
  <c r="BP77" i="2"/>
  <c r="BQ76" i="2"/>
  <c r="BK54" i="2"/>
  <c r="BL54" i="2" s="1"/>
  <c r="BR54" i="2" s="1"/>
  <c r="BP50" i="2"/>
  <c r="BI20" i="2"/>
  <c r="BJ20" i="2" s="1"/>
  <c r="BQ16" i="2"/>
  <c r="BK6" i="2"/>
  <c r="BL6" i="2" s="1"/>
  <c r="BR6" i="2" s="1"/>
  <c r="BK60" i="2"/>
  <c r="BL60" i="2" s="1"/>
  <c r="BR60" i="2" s="1"/>
  <c r="BK56" i="2"/>
  <c r="BL56" i="2" s="1"/>
  <c r="BR56" i="2" s="1"/>
  <c r="BK24" i="2"/>
  <c r="BL24" i="2" s="1"/>
  <c r="BK8" i="2"/>
  <c r="BL8" i="2" s="1"/>
  <c r="BR8" i="2" s="1"/>
  <c r="BK59" i="2"/>
  <c r="BL59" i="2" s="1"/>
  <c r="BR59" i="2" s="1"/>
  <c r="BK51" i="2"/>
  <c r="BL51" i="2" s="1"/>
  <c r="BR51" i="2" s="1"/>
  <c r="BK23" i="2"/>
  <c r="BK7" i="2"/>
  <c r="BL7" i="2" s="1"/>
  <c r="BR7" i="2" s="1"/>
  <c r="AS48" i="2"/>
  <c r="AT48" i="2" s="1"/>
  <c r="AV10" i="2"/>
  <c r="AV7" i="2"/>
  <c r="AA7" i="2"/>
  <c r="AS9" i="2"/>
  <c r="AW9" i="2" s="1"/>
  <c r="AT43" i="2"/>
  <c r="AV8" i="2"/>
  <c r="AT42" i="2"/>
  <c r="AA5" i="2"/>
  <c r="AV6" i="2"/>
  <c r="AZ49" i="2"/>
  <c r="AS5" i="2"/>
  <c r="AW5" i="2" s="1"/>
  <c r="AT7" i="2"/>
  <c r="AZ50" i="2"/>
  <c r="AA9" i="2"/>
  <c r="AV49" i="2"/>
  <c r="AS49" i="2"/>
  <c r="AT49" i="2" s="1"/>
  <c r="AS50" i="2"/>
  <c r="AT50" i="2" s="1"/>
  <c r="AZ43" i="2"/>
  <c r="AZ42" i="2"/>
  <c r="BY53" i="2"/>
  <c r="BZ53" i="2" s="1"/>
  <c r="AD23" i="2"/>
  <c r="AD26" i="2"/>
  <c r="AS52" i="2"/>
  <c r="AS54" i="2"/>
  <c r="AV56" i="2"/>
  <c r="AS55" i="2"/>
  <c r="AS53" i="2"/>
  <c r="AS51" i="2"/>
  <c r="AR22" i="2"/>
  <c r="AV22" i="2" s="1"/>
  <c r="AD20" i="2"/>
  <c r="AR23" i="2"/>
  <c r="AT23" i="2" s="1"/>
  <c r="AD25" i="2"/>
  <c r="AW26" i="2"/>
  <c r="AR25" i="2"/>
  <c r="AT25" i="2" s="1"/>
  <c r="AR20" i="2"/>
  <c r="AT20" i="2" s="1"/>
  <c r="AD24" i="2"/>
  <c r="AV26" i="2"/>
  <c r="AD22" i="2"/>
  <c r="AW24" i="2"/>
  <c r="AD21" i="2"/>
  <c r="AV24" i="2"/>
  <c r="AZ27" i="2"/>
  <c r="AR21" i="2"/>
  <c r="AZ15" i="2"/>
  <c r="AV15" i="2"/>
  <c r="AV59" i="2"/>
  <c r="AZ18" i="2"/>
  <c r="AZ28" i="2"/>
  <c r="AV17" i="2"/>
  <c r="AS16" i="2"/>
  <c r="AS17" i="2"/>
  <c r="AS18" i="2"/>
  <c r="AT15" i="2"/>
  <c r="AV58" i="2"/>
  <c r="AV60" i="2"/>
  <c r="AS62" i="2"/>
  <c r="AW62" i="2" s="1"/>
  <c r="AS61" i="2"/>
  <c r="AW61" i="2" s="1"/>
  <c r="AS70" i="2"/>
  <c r="AT69" i="2"/>
  <c r="AW69" i="2"/>
  <c r="AS57" i="2"/>
  <c r="AV69" i="2"/>
  <c r="AZ75" i="2"/>
  <c r="AZ74" i="2"/>
  <c r="AZ78" i="2"/>
  <c r="AZ13" i="2"/>
  <c r="AZ79" i="2"/>
  <c r="AZ11" i="2"/>
  <c r="AZ14" i="2"/>
  <c r="AZ12" i="2"/>
  <c r="AT27" i="2"/>
  <c r="AS14" i="2"/>
  <c r="AB11" i="2"/>
  <c r="AV13" i="2"/>
  <c r="AS12" i="2"/>
  <c r="AS11" i="2"/>
  <c r="AB13" i="2"/>
  <c r="AT13" i="2"/>
  <c r="AB12" i="2"/>
  <c r="AB14" i="2"/>
  <c r="BN14" i="2" s="1"/>
  <c r="AS79" i="2"/>
  <c r="AS78" i="2"/>
  <c r="AT77" i="2"/>
  <c r="AV76" i="2"/>
  <c r="AS75" i="2"/>
  <c r="AV77" i="2"/>
  <c r="AW76" i="2"/>
  <c r="AS74" i="2"/>
  <c r="BU81" i="2" l="1"/>
  <c r="BU82" i="2"/>
  <c r="BY82" i="2" s="1"/>
  <c r="AT81" i="2"/>
  <c r="AW81" i="2"/>
  <c r="BI80" i="2"/>
  <c r="BK80" i="2" s="1"/>
  <c r="BK82" i="2"/>
  <c r="AY82" i="2" s="1"/>
  <c r="BU83" i="2"/>
  <c r="BY83" i="2" s="1"/>
  <c r="CA83" i="2" s="1"/>
  <c r="CB83" i="2" s="1"/>
  <c r="BJ81" i="2"/>
  <c r="BC83" i="2"/>
  <c r="AY83" i="2"/>
  <c r="BL83" i="2"/>
  <c r="BR83" i="2" s="1"/>
  <c r="BJ83" i="2"/>
  <c r="BC81" i="2"/>
  <c r="AY81" i="2"/>
  <c r="BL81" i="2"/>
  <c r="BR81" i="2" s="1"/>
  <c r="BY81" i="2"/>
  <c r="CA81" i="2" s="1"/>
  <c r="BY80" i="2"/>
  <c r="BL22" i="2"/>
  <c r="BR22" i="2" s="1"/>
  <c r="BS22" i="2" s="1"/>
  <c r="BC22" i="2"/>
  <c r="BE22" i="2" s="1"/>
  <c r="BL23" i="2"/>
  <c r="BR23" i="2" s="1"/>
  <c r="BS23" i="2" s="1"/>
  <c r="BX23" i="2" s="1"/>
  <c r="BC23" i="2"/>
  <c r="BD23" i="2" s="1"/>
  <c r="BY23" i="2"/>
  <c r="BZ23" i="2" s="1"/>
  <c r="CA23" i="2" s="1"/>
  <c r="CA5" i="2"/>
  <c r="CB5" i="2" s="1"/>
  <c r="BK55" i="2"/>
  <c r="BL55" i="2" s="1"/>
  <c r="BR55" i="2" s="1"/>
  <c r="BS55" i="2" s="1"/>
  <c r="BK52" i="2"/>
  <c r="BL52" i="2" s="1"/>
  <c r="BR52" i="2" s="1"/>
  <c r="BS52" i="2" s="1"/>
  <c r="BS60" i="2"/>
  <c r="BK34" i="2"/>
  <c r="BL34" i="2" s="1"/>
  <c r="BR34" i="2" s="1"/>
  <c r="BS34" i="2" s="1"/>
  <c r="BK13" i="2"/>
  <c r="BL13" i="2" s="1"/>
  <c r="BS54" i="2"/>
  <c r="BR76" i="2"/>
  <c r="BR45" i="2"/>
  <c r="BS62" i="2"/>
  <c r="BU74" i="2"/>
  <c r="BS57" i="2"/>
  <c r="BK44" i="2"/>
  <c r="BL44" i="2" s="1"/>
  <c r="BR44" i="2" s="1"/>
  <c r="BS44" i="2" s="1"/>
  <c r="BK12" i="2"/>
  <c r="BL12" i="2" s="1"/>
  <c r="BK14" i="2"/>
  <c r="BL14" i="2" s="1"/>
  <c r="BS6" i="2"/>
  <c r="BX6" i="2" s="1"/>
  <c r="BS61" i="2"/>
  <c r="BS9" i="2"/>
  <c r="BX9" i="2" s="1"/>
  <c r="BR33" i="2"/>
  <c r="BU14" i="2"/>
  <c r="BY14" i="2" s="1"/>
  <c r="BZ14" i="2" s="1"/>
  <c r="BI72" i="2"/>
  <c r="BJ72" i="2" s="1"/>
  <c r="BR26" i="2"/>
  <c r="BS26" i="2" s="1"/>
  <c r="BK32" i="2"/>
  <c r="BL32" i="2" s="1"/>
  <c r="BR32" i="2" s="1"/>
  <c r="BS32" i="2" s="1"/>
  <c r="BS58" i="2"/>
  <c r="BS70" i="2"/>
  <c r="BJ53" i="2"/>
  <c r="BS53" i="2" s="1"/>
  <c r="BS7" i="2"/>
  <c r="BX7" i="2" s="1"/>
  <c r="BJ12" i="2"/>
  <c r="BR41" i="2"/>
  <c r="BR16" i="2"/>
  <c r="BK31" i="2"/>
  <c r="BL31" i="2" s="1"/>
  <c r="BR31" i="2" s="1"/>
  <c r="BS31" i="2" s="1"/>
  <c r="BK39" i="2"/>
  <c r="BL39" i="2" s="1"/>
  <c r="BR39" i="2" s="1"/>
  <c r="BS39" i="2" s="1"/>
  <c r="BU41" i="2"/>
  <c r="BS8" i="2"/>
  <c r="BR24" i="2"/>
  <c r="BS24" i="2" s="1"/>
  <c r="BJ11" i="2"/>
  <c r="BI35" i="2"/>
  <c r="BK74" i="2"/>
  <c r="BL74" i="2" s="1"/>
  <c r="BR74" i="2" s="1"/>
  <c r="BS74" i="2" s="1"/>
  <c r="BI27" i="2"/>
  <c r="BR25" i="2"/>
  <c r="BS25" i="2" s="1"/>
  <c r="BK47" i="2"/>
  <c r="BL47" i="2" s="1"/>
  <c r="BR47" i="2" s="1"/>
  <c r="BS47" i="2" s="1"/>
  <c r="BS51" i="2"/>
  <c r="BI28" i="2"/>
  <c r="BJ28" i="2" s="1"/>
  <c r="BJ41" i="2"/>
  <c r="BI48" i="2"/>
  <c r="BK48" i="2" s="1"/>
  <c r="BL48" i="2" s="1"/>
  <c r="BR48" i="2" s="1"/>
  <c r="BS59" i="2"/>
  <c r="BS10" i="2"/>
  <c r="BX10" i="2" s="1"/>
  <c r="BS56" i="2"/>
  <c r="BN12" i="2"/>
  <c r="BR21" i="2"/>
  <c r="BS21" i="2" s="1"/>
  <c r="BU37" i="2"/>
  <c r="BO11" i="2"/>
  <c r="BY63" i="2"/>
  <c r="BZ63" i="2" s="1"/>
  <c r="BI63" i="2"/>
  <c r="BN13" i="2"/>
  <c r="BU17" i="2"/>
  <c r="BU36" i="2"/>
  <c r="BI36" i="2"/>
  <c r="BK36" i="2" s="1"/>
  <c r="BL36" i="2" s="1"/>
  <c r="BR36" i="2" s="1"/>
  <c r="BK20" i="2"/>
  <c r="BL20" i="2" s="1"/>
  <c r="BR20" i="2" s="1"/>
  <c r="BS20" i="2" s="1"/>
  <c r="BK30" i="2"/>
  <c r="BL30" i="2" s="1"/>
  <c r="BR30" i="2" s="1"/>
  <c r="BS30" i="2" s="1"/>
  <c r="BU30" i="2"/>
  <c r="BI73" i="2"/>
  <c r="BJ73" i="2" s="1"/>
  <c r="BU73" i="2"/>
  <c r="BI17" i="2"/>
  <c r="BK17" i="2" s="1"/>
  <c r="BL17" i="2" s="1"/>
  <c r="BR17" i="2" s="1"/>
  <c r="BI75" i="2"/>
  <c r="BU75" i="2"/>
  <c r="BY75" i="2" s="1"/>
  <c r="BK18" i="2"/>
  <c r="BL18" i="2" s="1"/>
  <c r="BR18" i="2" s="1"/>
  <c r="BS18" i="2" s="1"/>
  <c r="BK42" i="2"/>
  <c r="BL42" i="2" s="1"/>
  <c r="BR42" i="2" s="1"/>
  <c r="BS42" i="2" s="1"/>
  <c r="BU42" i="2"/>
  <c r="BY42" i="2" s="1"/>
  <c r="BZ42" i="2" s="1"/>
  <c r="BJ45" i="2"/>
  <c r="BJ14" i="2"/>
  <c r="BI65" i="2"/>
  <c r="BN11" i="2"/>
  <c r="BI37" i="2"/>
  <c r="BK37" i="2" s="1"/>
  <c r="BL37" i="2" s="1"/>
  <c r="BR37" i="2" s="1"/>
  <c r="BJ76" i="2"/>
  <c r="BU76" i="2"/>
  <c r="BI15" i="2"/>
  <c r="BU15" i="2"/>
  <c r="BY15" i="2" s="1"/>
  <c r="BZ15" i="2" s="1"/>
  <c r="BJ33" i="2"/>
  <c r="BO12" i="2"/>
  <c r="BK11" i="2"/>
  <c r="BL11" i="2" s="1"/>
  <c r="BU77" i="2"/>
  <c r="BK78" i="2"/>
  <c r="BL78" i="2" s="1"/>
  <c r="BR78" i="2" s="1"/>
  <c r="BS78" i="2" s="1"/>
  <c r="BU78" i="2"/>
  <c r="BU50" i="2"/>
  <c r="BK40" i="2"/>
  <c r="BL40" i="2" s="1"/>
  <c r="BR40" i="2" s="1"/>
  <c r="BS40" i="2" s="1"/>
  <c r="BS69" i="2"/>
  <c r="BU79" i="2"/>
  <c r="BK79" i="2"/>
  <c r="BL79" i="2" s="1"/>
  <c r="BR79" i="2" s="1"/>
  <c r="BS79" i="2" s="1"/>
  <c r="BI64" i="2"/>
  <c r="BI49" i="2"/>
  <c r="BK49" i="2" s="1"/>
  <c r="BL49" i="2" s="1"/>
  <c r="BR49" i="2" s="1"/>
  <c r="BU49" i="2"/>
  <c r="BK46" i="2"/>
  <c r="BL46" i="2" s="1"/>
  <c r="BR46" i="2" s="1"/>
  <c r="BS46" i="2" s="1"/>
  <c r="BI43" i="2"/>
  <c r="BJ43" i="2" s="1"/>
  <c r="BO13" i="2"/>
  <c r="BI19" i="2"/>
  <c r="BK19" i="2" s="1"/>
  <c r="BL19" i="2" s="1"/>
  <c r="BI66" i="2"/>
  <c r="BI50" i="2"/>
  <c r="BJ50" i="2" s="1"/>
  <c r="BJ13" i="2"/>
  <c r="BO14" i="2"/>
  <c r="BK71" i="2"/>
  <c r="BL71" i="2" s="1"/>
  <c r="BR71" i="2" s="1"/>
  <c r="BS71" i="2" s="1"/>
  <c r="BI77" i="2"/>
  <c r="BK77" i="2" s="1"/>
  <c r="BL77" i="2" s="1"/>
  <c r="BR77" i="2" s="1"/>
  <c r="BJ16" i="2"/>
  <c r="BU16" i="2"/>
  <c r="BJ29" i="2"/>
  <c r="BS29" i="2" s="1"/>
  <c r="BU29" i="2"/>
  <c r="BK38" i="2"/>
  <c r="BL38" i="2" s="1"/>
  <c r="BR38" i="2" s="1"/>
  <c r="BS38" i="2" s="1"/>
  <c r="BC56" i="2"/>
  <c r="BE56" i="2" s="1"/>
  <c r="BC5" i="2"/>
  <c r="AX5" i="2" s="1"/>
  <c r="BL5" i="2"/>
  <c r="AW48" i="2"/>
  <c r="BY48" i="2"/>
  <c r="CA10" i="2"/>
  <c r="CB10" i="2" s="1"/>
  <c r="CA9" i="2"/>
  <c r="CB9" i="2" s="1"/>
  <c r="CA6" i="2"/>
  <c r="CB6" i="2" s="1"/>
  <c r="AT8" i="2"/>
  <c r="AY6" i="2"/>
  <c r="BC6" i="2"/>
  <c r="CA7" i="2"/>
  <c r="CB7" i="2" s="1"/>
  <c r="AY7" i="2"/>
  <c r="BC7" i="2"/>
  <c r="BY8" i="2"/>
  <c r="BZ8" i="2" s="1"/>
  <c r="AY9" i="2"/>
  <c r="BC9" i="2"/>
  <c r="AY10" i="2"/>
  <c r="BC10" i="2"/>
  <c r="AW49" i="2"/>
  <c r="AW50" i="2"/>
  <c r="BY43" i="2"/>
  <c r="BZ43" i="2" s="1"/>
  <c r="CA53" i="2"/>
  <c r="BY12" i="2"/>
  <c r="BZ12" i="2" s="1"/>
  <c r="AW51" i="2"/>
  <c r="AW57" i="2"/>
  <c r="AW53" i="2"/>
  <c r="AW18" i="2"/>
  <c r="AW54" i="2"/>
  <c r="AW17" i="2"/>
  <c r="BY70" i="2"/>
  <c r="BZ70" i="2" s="1"/>
  <c r="AW16" i="2"/>
  <c r="AW55" i="2"/>
  <c r="AW52" i="2"/>
  <c r="BY51" i="2"/>
  <c r="BZ51" i="2" s="1"/>
  <c r="BY55" i="2"/>
  <c r="BZ55" i="2" s="1"/>
  <c r="BY54" i="2"/>
  <c r="BZ54" i="2" s="1"/>
  <c r="BY52" i="2"/>
  <c r="BZ52" i="2" s="1"/>
  <c r="AY56" i="2"/>
  <c r="CA56" i="2"/>
  <c r="BC21" i="2"/>
  <c r="BD21" i="2" s="1"/>
  <c r="AT22" i="2"/>
  <c r="AV23" i="2"/>
  <c r="AV25" i="2"/>
  <c r="AY23" i="2"/>
  <c r="CA21" i="2"/>
  <c r="BY22" i="2"/>
  <c r="AV20" i="2"/>
  <c r="BC25" i="2"/>
  <c r="BE25" i="2" s="1"/>
  <c r="BY20" i="2"/>
  <c r="BZ20" i="2" s="1"/>
  <c r="CA24" i="2"/>
  <c r="BC24" i="2"/>
  <c r="BE24" i="2" s="1"/>
  <c r="BC26" i="2"/>
  <c r="AX26" i="2" s="1"/>
  <c r="CA25" i="2"/>
  <c r="AV21" i="2"/>
  <c r="AT21" i="2"/>
  <c r="CA26" i="2"/>
  <c r="AY26" i="2"/>
  <c r="AY21" i="2"/>
  <c r="AY25" i="2"/>
  <c r="AY24" i="2"/>
  <c r="AY22" i="2"/>
  <c r="BY62" i="2"/>
  <c r="BZ62" i="2" s="1"/>
  <c r="BY60" i="2"/>
  <c r="BY61" i="2"/>
  <c r="BZ61" i="2" s="1"/>
  <c r="BY58" i="2"/>
  <c r="BZ58" i="2" s="1"/>
  <c r="AT17" i="2"/>
  <c r="AT16" i="2"/>
  <c r="AT18" i="2"/>
  <c r="AT70" i="2"/>
  <c r="AW70" i="2"/>
  <c r="BC59" i="2"/>
  <c r="AD12" i="2"/>
  <c r="AW12" i="2"/>
  <c r="AT75" i="2"/>
  <c r="AW11" i="2"/>
  <c r="AT78" i="2"/>
  <c r="AT14" i="2"/>
  <c r="AT79" i="2"/>
  <c r="AW74" i="2"/>
  <c r="AW14" i="2"/>
  <c r="BY13" i="2"/>
  <c r="BZ13" i="2" s="1"/>
  <c r="AT12" i="2"/>
  <c r="AD11" i="2"/>
  <c r="AD14" i="2"/>
  <c r="BY11" i="2"/>
  <c r="BZ11" i="2" s="1"/>
  <c r="AT11" i="2"/>
  <c r="AD13" i="2"/>
  <c r="AW79" i="2"/>
  <c r="AW75" i="2"/>
  <c r="AW78" i="2"/>
  <c r="AT74" i="2"/>
  <c r="AX81" i="2" l="1"/>
  <c r="BS81" i="2"/>
  <c r="BX81" i="2" s="1"/>
  <c r="BJ80" i="2"/>
  <c r="AY80" i="2"/>
  <c r="BL80" i="2"/>
  <c r="BR80" i="2" s="1"/>
  <c r="BS80" i="2" s="1"/>
  <c r="BX80" i="2" s="1"/>
  <c r="BC80" i="2"/>
  <c r="BE80" i="2" s="1"/>
  <c r="CA80" i="2"/>
  <c r="CB80" i="2" s="1"/>
  <c r="BD81" i="2"/>
  <c r="BE81" i="2"/>
  <c r="CA82" i="2"/>
  <c r="CB82" i="2" s="1"/>
  <c r="BC82" i="2"/>
  <c r="BE83" i="2"/>
  <c r="BL82" i="2"/>
  <c r="BR82" i="2" s="1"/>
  <c r="BS82" i="2" s="1"/>
  <c r="BX82" i="2" s="1"/>
  <c r="BS83" i="2"/>
  <c r="BX83" i="2" s="1"/>
  <c r="CC83" i="2" s="1"/>
  <c r="CD83" i="2" s="1"/>
  <c r="AX83" i="2"/>
  <c r="BD83" i="2"/>
  <c r="CB81" i="2"/>
  <c r="CC81" i="2" s="1"/>
  <c r="CD81" i="2" s="1"/>
  <c r="AX23" i="2"/>
  <c r="BZ22" i="2"/>
  <c r="CA22" i="2" s="1"/>
  <c r="CB22" i="2" s="1"/>
  <c r="BS45" i="2"/>
  <c r="BX45" i="2" s="1"/>
  <c r="BS76" i="2"/>
  <c r="BR14" i="2"/>
  <c r="BS14" i="2" s="1"/>
  <c r="BS33" i="2"/>
  <c r="BS16" i="2"/>
  <c r="BJ48" i="2"/>
  <c r="BS48" i="2" s="1"/>
  <c r="BJ49" i="2"/>
  <c r="BS49" i="2" s="1"/>
  <c r="BX49" i="2" s="1"/>
  <c r="BS41" i="2"/>
  <c r="BK72" i="2"/>
  <c r="BL72" i="2" s="1"/>
  <c r="BR72" i="2" s="1"/>
  <c r="BS72" i="2" s="1"/>
  <c r="BC78" i="2"/>
  <c r="BE78" i="2" s="1"/>
  <c r="BC20" i="2"/>
  <c r="BD20" i="2" s="1"/>
  <c r="BR11" i="2"/>
  <c r="BS11" i="2" s="1"/>
  <c r="BK43" i="2"/>
  <c r="BL43" i="2" s="1"/>
  <c r="BR43" i="2" s="1"/>
  <c r="BS43" i="2" s="1"/>
  <c r="AY20" i="2"/>
  <c r="BK50" i="2"/>
  <c r="BL50" i="2" s="1"/>
  <c r="BR50" i="2" s="1"/>
  <c r="BS50" i="2" s="1"/>
  <c r="BD56" i="2"/>
  <c r="BF56" i="2" s="1"/>
  <c r="T56" i="2" s="1"/>
  <c r="BK73" i="2"/>
  <c r="BL73" i="2" s="1"/>
  <c r="BR73" i="2" s="1"/>
  <c r="BS73" i="2" s="1"/>
  <c r="BK28" i="2"/>
  <c r="BL28" i="2" s="1"/>
  <c r="BR28" i="2" s="1"/>
  <c r="BS28" i="2" s="1"/>
  <c r="BJ17" i="2"/>
  <c r="BS17" i="2" s="1"/>
  <c r="BJ36" i="2"/>
  <c r="BS36" i="2" s="1"/>
  <c r="BC49" i="2"/>
  <c r="BE49" i="2" s="1"/>
  <c r="BR13" i="2"/>
  <c r="BS13" i="2" s="1"/>
  <c r="BX13" i="2" s="1"/>
  <c r="BJ27" i="2"/>
  <c r="BK27" i="2"/>
  <c r="BL27" i="2" s="1"/>
  <c r="BR27" i="2" s="1"/>
  <c r="BY49" i="2"/>
  <c r="CA49" i="2" s="1"/>
  <c r="CB49" i="2" s="1"/>
  <c r="BJ35" i="2"/>
  <c r="BK35" i="2"/>
  <c r="BL35" i="2" s="1"/>
  <c r="BR35" i="2" s="1"/>
  <c r="BC74" i="2"/>
  <c r="BD74" i="2" s="1"/>
  <c r="BR12" i="2"/>
  <c r="BS12" i="2" s="1"/>
  <c r="BJ63" i="2"/>
  <c r="BK63" i="2"/>
  <c r="BL63" i="2" s="1"/>
  <c r="BR63" i="2" s="1"/>
  <c r="BJ15" i="2"/>
  <c r="BK15" i="2"/>
  <c r="CA15" i="2" s="1"/>
  <c r="CB15" i="2" s="1"/>
  <c r="BJ75" i="2"/>
  <c r="BK75" i="2"/>
  <c r="CA75" i="2" s="1"/>
  <c r="BR5" i="2"/>
  <c r="BS5" i="2" s="1"/>
  <c r="BX5" i="2" s="1"/>
  <c r="CC5" i="2" s="1"/>
  <c r="CD5" i="2" s="1"/>
  <c r="BJ77" i="2"/>
  <c r="BS77" i="2" s="1"/>
  <c r="BJ37" i="2"/>
  <c r="BS37" i="2" s="1"/>
  <c r="BE5" i="2"/>
  <c r="BD5" i="2"/>
  <c r="AY49" i="2"/>
  <c r="BY50" i="2"/>
  <c r="AT9" i="2"/>
  <c r="CA8" i="2"/>
  <c r="CB8" i="2" s="1"/>
  <c r="CC10" i="2"/>
  <c r="CD10" i="2" s="1"/>
  <c r="CC6" i="2"/>
  <c r="CD6" i="2" s="1"/>
  <c r="CC9" i="2"/>
  <c r="CD9" i="2" s="1"/>
  <c r="BD6" i="2"/>
  <c r="BE6" i="2"/>
  <c r="AX6" i="2"/>
  <c r="BD7" i="2"/>
  <c r="BE7" i="2"/>
  <c r="AX7" i="2"/>
  <c r="BC8" i="2"/>
  <c r="BX8" i="2"/>
  <c r="AY8" i="2"/>
  <c r="BD9" i="2"/>
  <c r="AX9" i="2"/>
  <c r="BE9" i="2"/>
  <c r="BE10" i="2"/>
  <c r="AX10" i="2"/>
  <c r="BD10" i="2"/>
  <c r="CC7" i="2"/>
  <c r="CD7" i="2" s="1"/>
  <c r="BX52" i="2"/>
  <c r="AY52" i="2"/>
  <c r="BC52" i="2"/>
  <c r="CA55" i="2"/>
  <c r="CB55" i="2" s="1"/>
  <c r="CA54" i="2"/>
  <c r="CB54" i="2" s="1"/>
  <c r="BX54" i="2"/>
  <c r="CA69" i="2"/>
  <c r="BC69" i="2"/>
  <c r="AX69" i="2" s="1"/>
  <c r="BX69" i="2"/>
  <c r="AY69" i="2"/>
  <c r="CA70" i="2"/>
  <c r="CB70" i="2" s="1"/>
  <c r="BC57" i="2"/>
  <c r="AX57" i="2" s="1"/>
  <c r="BX57" i="2"/>
  <c r="AY57" i="2"/>
  <c r="BC70" i="2"/>
  <c r="AX70" i="2" s="1"/>
  <c r="BX70" i="2"/>
  <c r="AY70" i="2"/>
  <c r="CB21" i="2"/>
  <c r="CB24" i="2"/>
  <c r="CB25" i="2"/>
  <c r="CB53" i="2"/>
  <c r="CA60" i="2"/>
  <c r="CA58" i="2"/>
  <c r="BC58" i="2"/>
  <c r="AX58" i="2" s="1"/>
  <c r="BX58" i="2"/>
  <c r="AY58" i="2"/>
  <c r="BC53" i="2"/>
  <c r="BX53" i="2"/>
  <c r="AY53" i="2"/>
  <c r="AY60" i="2"/>
  <c r="BX60" i="2"/>
  <c r="BC60" i="2"/>
  <c r="CA51" i="2"/>
  <c r="BC54" i="2"/>
  <c r="AY54" i="2"/>
  <c r="BX51" i="2"/>
  <c r="BC51" i="2"/>
  <c r="AY51" i="2"/>
  <c r="BC55" i="2"/>
  <c r="BX55" i="2"/>
  <c r="AY55" i="2"/>
  <c r="CA62" i="2"/>
  <c r="CA61" i="2"/>
  <c r="BC61" i="2"/>
  <c r="BX61" i="2"/>
  <c r="AY61" i="2"/>
  <c r="BC62" i="2"/>
  <c r="BX62" i="2"/>
  <c r="AY62" i="2"/>
  <c r="CA14" i="2"/>
  <c r="BY74" i="2"/>
  <c r="BE23" i="2"/>
  <c r="BF23" i="2" s="1"/>
  <c r="T23" i="2" s="1"/>
  <c r="BD59" i="2"/>
  <c r="BE59" i="2"/>
  <c r="BE21" i="2"/>
  <c r="BF21" i="2" s="1"/>
  <c r="T21" i="2" s="1"/>
  <c r="BE26" i="2"/>
  <c r="BY76" i="2"/>
  <c r="BX56" i="2"/>
  <c r="CA52" i="2"/>
  <c r="AX21" i="2"/>
  <c r="AX56" i="2"/>
  <c r="CB56" i="2"/>
  <c r="BX26" i="2"/>
  <c r="BD22" i="2"/>
  <c r="BF22" i="2" s="1"/>
  <c r="T22" i="2" s="1"/>
  <c r="AX22" i="2"/>
  <c r="BX21" i="2"/>
  <c r="CA20" i="2"/>
  <c r="BX22" i="2"/>
  <c r="BD25" i="2"/>
  <c r="BF25" i="2" s="1"/>
  <c r="T25" i="2" s="1"/>
  <c r="AX25" i="2"/>
  <c r="BX25" i="2"/>
  <c r="AX24" i="2"/>
  <c r="BD24" i="2"/>
  <c r="BF24" i="2" s="1"/>
  <c r="T24" i="2" s="1"/>
  <c r="BX20" i="2"/>
  <c r="BX24" i="2"/>
  <c r="BD26" i="2"/>
  <c r="CB26" i="2"/>
  <c r="CB23" i="2"/>
  <c r="CC23" i="2" s="1"/>
  <c r="CD23" i="2" s="1"/>
  <c r="BY16" i="2"/>
  <c r="BZ16" i="2" s="1"/>
  <c r="AY19" i="2"/>
  <c r="BY19" i="2"/>
  <c r="BZ19" i="2" s="1"/>
  <c r="BY27" i="2"/>
  <c r="BY18" i="2"/>
  <c r="BY17" i="2"/>
  <c r="BZ17" i="2" s="1"/>
  <c r="BY77" i="2"/>
  <c r="BY78" i="2"/>
  <c r="BY79" i="2"/>
  <c r="BY28" i="2"/>
  <c r="BZ28" i="2" s="1"/>
  <c r="BX59" i="2"/>
  <c r="AY59" i="2"/>
  <c r="CA59" i="2"/>
  <c r="CA57" i="2"/>
  <c r="BC13" i="2"/>
  <c r="AY78" i="2"/>
  <c r="AY13" i="2"/>
  <c r="AY74" i="2"/>
  <c r="BC77" i="2"/>
  <c r="BE77" i="2" s="1"/>
  <c r="BC11" i="2"/>
  <c r="BE11" i="2" s="1"/>
  <c r="AY11" i="2"/>
  <c r="CC82" i="2" l="1"/>
  <c r="CD82" i="2" s="1"/>
  <c r="BF81" i="2"/>
  <c r="T81" i="2" s="1"/>
  <c r="BD80" i="2"/>
  <c r="BF80" i="2" s="1"/>
  <c r="T80" i="2" s="1"/>
  <c r="AX80" i="2"/>
  <c r="CC80" i="2"/>
  <c r="CD80" i="2" s="1"/>
  <c r="CF80" i="2"/>
  <c r="CG80" i="2"/>
  <c r="CI80" i="2" s="1"/>
  <c r="CJ80" i="2" s="1"/>
  <c r="BF83" i="2"/>
  <c r="T83" i="2" s="1"/>
  <c r="BE82" i="2"/>
  <c r="BD82" i="2"/>
  <c r="AX82" i="2"/>
  <c r="CG81" i="2"/>
  <c r="CI81" i="2" s="1"/>
  <c r="BD78" i="2"/>
  <c r="BF78" i="2" s="1"/>
  <c r="T78" i="2" s="1"/>
  <c r="AY75" i="2"/>
  <c r="BE20" i="2"/>
  <c r="BF20" i="2" s="1"/>
  <c r="BE74" i="2"/>
  <c r="BF74" i="2" s="1"/>
  <c r="T74" i="2" s="1"/>
  <c r="AY28" i="2"/>
  <c r="AX20" i="2"/>
  <c r="CA28" i="2"/>
  <c r="CB28" i="2" s="1"/>
  <c r="CA63" i="2"/>
  <c r="CB63" i="2" s="1"/>
  <c r="BS35" i="2"/>
  <c r="AX49" i="2"/>
  <c r="BD49" i="2"/>
  <c r="BF49" i="2" s="1"/>
  <c r="BS27" i="2"/>
  <c r="BX27" i="2" s="1"/>
  <c r="BS63" i="2"/>
  <c r="BX63" i="2" s="1"/>
  <c r="BL75" i="2"/>
  <c r="BR75" i="2" s="1"/>
  <c r="BS75" i="2" s="1"/>
  <c r="BX75" i="2" s="1"/>
  <c r="BC75" i="2"/>
  <c r="BL15" i="2"/>
  <c r="BR15" i="2" s="1"/>
  <c r="BS15" i="2" s="1"/>
  <c r="BX15" i="2" s="1"/>
  <c r="CC15" i="2" s="1"/>
  <c r="CD15" i="2" s="1"/>
  <c r="AY15" i="2"/>
  <c r="BC15" i="2"/>
  <c r="BF5" i="2"/>
  <c r="T5" i="2" s="1"/>
  <c r="CA50" i="2"/>
  <c r="CB50" i="2" s="1"/>
  <c r="CC49" i="2"/>
  <c r="CD49" i="2" s="1"/>
  <c r="BF10" i="2"/>
  <c r="BX48" i="2"/>
  <c r="BC48" i="2"/>
  <c r="AY48" i="2"/>
  <c r="CA48" i="2"/>
  <c r="CB48" i="2" s="1"/>
  <c r="BC50" i="2"/>
  <c r="AY50" i="2"/>
  <c r="BX50" i="2"/>
  <c r="AT10" i="2"/>
  <c r="CC8" i="2"/>
  <c r="CD8" i="2" s="1"/>
  <c r="BE8" i="2"/>
  <c r="AX8" i="2"/>
  <c r="BD8" i="2"/>
  <c r="BF7" i="2"/>
  <c r="T7" i="2" s="1"/>
  <c r="BF9" i="2"/>
  <c r="T9" i="2" s="1"/>
  <c r="BF6" i="2"/>
  <c r="T6" i="2" s="1"/>
  <c r="CC70" i="2"/>
  <c r="CD70" i="2" s="1"/>
  <c r="BD52" i="2"/>
  <c r="AX52" i="2"/>
  <c r="BE52" i="2"/>
  <c r="CA43" i="2"/>
  <c r="BC43" i="2"/>
  <c r="AY43" i="2"/>
  <c r="BX43" i="2"/>
  <c r="CA42" i="2"/>
  <c r="BC42" i="2"/>
  <c r="AY42" i="2"/>
  <c r="BX42" i="2"/>
  <c r="CC25" i="2"/>
  <c r="CD25" i="2" s="1"/>
  <c r="CC24" i="2"/>
  <c r="CD24" i="2" s="1"/>
  <c r="CC21" i="2"/>
  <c r="CD21" i="2" s="1"/>
  <c r="CC22" i="2"/>
  <c r="CD22" i="2" s="1"/>
  <c r="BE69" i="2"/>
  <c r="BD69" i="2"/>
  <c r="CC56" i="2"/>
  <c r="CD56" i="2" s="1"/>
  <c r="CB69" i="2"/>
  <c r="CC69" i="2" s="1"/>
  <c r="CD69" i="2" s="1"/>
  <c r="BD57" i="2"/>
  <c r="BE57" i="2"/>
  <c r="BD70" i="2"/>
  <c r="BE70" i="2"/>
  <c r="CC26" i="2"/>
  <c r="CD26" i="2" s="1"/>
  <c r="CB60" i="2"/>
  <c r="CC60" i="2" s="1"/>
  <c r="CD60" i="2" s="1"/>
  <c r="CB58" i="2"/>
  <c r="CC58" i="2" s="1"/>
  <c r="CD58" i="2" s="1"/>
  <c r="BE58" i="2"/>
  <c r="BD58" i="2"/>
  <c r="CB51" i="2"/>
  <c r="CC51" i="2" s="1"/>
  <c r="CD51" i="2" s="1"/>
  <c r="CB62" i="2"/>
  <c r="CC62" i="2" s="1"/>
  <c r="CD62" i="2" s="1"/>
  <c r="CB59" i="2"/>
  <c r="CC59" i="2" s="1"/>
  <c r="CD59" i="2" s="1"/>
  <c r="CB57" i="2"/>
  <c r="CC57" i="2" s="1"/>
  <c r="CD57" i="2" s="1"/>
  <c r="CC55" i="2"/>
  <c r="CD55" i="2" s="1"/>
  <c r="CC54" i="2"/>
  <c r="CD54" i="2" s="1"/>
  <c r="CC53" i="2"/>
  <c r="CD53" i="2" s="1"/>
  <c r="CB52" i="2"/>
  <c r="CC52" i="2" s="1"/>
  <c r="CD52" i="2" s="1"/>
  <c r="AX55" i="2"/>
  <c r="BD55" i="2"/>
  <c r="BE55" i="2"/>
  <c r="AX53" i="2"/>
  <c r="BD53" i="2"/>
  <c r="BE53" i="2"/>
  <c r="AX60" i="2"/>
  <c r="BE60" i="2"/>
  <c r="BD60" i="2"/>
  <c r="BE54" i="2"/>
  <c r="AX54" i="2"/>
  <c r="BD54" i="2"/>
  <c r="BE51" i="2"/>
  <c r="AX51" i="2"/>
  <c r="BD51" i="2"/>
  <c r="CA16" i="2"/>
  <c r="AY16" i="2"/>
  <c r="BX16" i="2"/>
  <c r="BC16" i="2"/>
  <c r="BE16" i="2" s="1"/>
  <c r="CA12" i="2"/>
  <c r="CB12" i="2" s="1"/>
  <c r="CB61" i="2"/>
  <c r="CC61" i="2" s="1"/>
  <c r="CD61" i="2" s="1"/>
  <c r="BD61" i="2"/>
  <c r="AX61" i="2"/>
  <c r="BE61" i="2"/>
  <c r="AX62" i="2"/>
  <c r="BD62" i="2"/>
  <c r="BE62" i="2"/>
  <c r="AY14" i="2"/>
  <c r="BX14" i="2"/>
  <c r="BC14" i="2"/>
  <c r="BC12" i="2"/>
  <c r="BE12" i="2" s="1"/>
  <c r="BX12" i="2"/>
  <c r="AY12" i="2"/>
  <c r="BC27" i="2"/>
  <c r="AY27" i="2"/>
  <c r="BF26" i="2"/>
  <c r="T26" i="2" s="1"/>
  <c r="BF59" i="2"/>
  <c r="T59" i="2" s="1"/>
  <c r="CA74" i="2"/>
  <c r="BD77" i="2"/>
  <c r="BF77" i="2" s="1"/>
  <c r="T77" i="2" s="1"/>
  <c r="BE13" i="2"/>
  <c r="BX79" i="2"/>
  <c r="BC79" i="2"/>
  <c r="BX76" i="2"/>
  <c r="BC76" i="2"/>
  <c r="CG56" i="2"/>
  <c r="CF56" i="2"/>
  <c r="CG23" i="2"/>
  <c r="CF23" i="2"/>
  <c r="CG21" i="2"/>
  <c r="CF21" i="2"/>
  <c r="CB20" i="2"/>
  <c r="CC20" i="2" s="1"/>
  <c r="CD20" i="2" s="1"/>
  <c r="CA17" i="2"/>
  <c r="CA18" i="2"/>
  <c r="BC17" i="2"/>
  <c r="BE17" i="2" s="1"/>
  <c r="AY17" i="2"/>
  <c r="CA27" i="2"/>
  <c r="AY18" i="2"/>
  <c r="BC18" i="2"/>
  <c r="BE18" i="2" s="1"/>
  <c r="BX74" i="2"/>
  <c r="AX59" i="2"/>
  <c r="AY76" i="2"/>
  <c r="CA77" i="2"/>
  <c r="CA76" i="2"/>
  <c r="AY77" i="2"/>
  <c r="AX78" i="2"/>
  <c r="BD13" i="2"/>
  <c r="AX13" i="2"/>
  <c r="AX74" i="2"/>
  <c r="CA79" i="2"/>
  <c r="AY79" i="2"/>
  <c r="BX11" i="2"/>
  <c r="CA78" i="2"/>
  <c r="CA13" i="2"/>
  <c r="CB13" i="2" s="1"/>
  <c r="BD11" i="2"/>
  <c r="BF11" i="2" s="1"/>
  <c r="AX11" i="2"/>
  <c r="CA11" i="2"/>
  <c r="CB14" i="2"/>
  <c r="CB75" i="2"/>
  <c r="CF81" i="2" l="1"/>
  <c r="CF83" i="2"/>
  <c r="CG83" i="2"/>
  <c r="CI83" i="2" s="1"/>
  <c r="CK80" i="2"/>
  <c r="R80" i="2" s="1"/>
  <c r="BF82" i="2"/>
  <c r="T82" i="2" s="1"/>
  <c r="CJ83" i="2"/>
  <c r="CK83" i="2" s="1"/>
  <c r="R83" i="2" s="1"/>
  <c r="CJ81" i="2"/>
  <c r="CK81" i="2" s="1"/>
  <c r="R81" i="2" s="1"/>
  <c r="T11" i="2"/>
  <c r="CH21" i="2"/>
  <c r="CI21" i="2" s="1"/>
  <c r="CH56" i="2"/>
  <c r="CI56" i="2" s="1"/>
  <c r="CH23" i="2"/>
  <c r="CI23" i="2" s="1"/>
  <c r="CC63" i="2"/>
  <c r="CD63" i="2" s="1"/>
  <c r="CG49" i="2"/>
  <c r="CI49" i="2" s="1"/>
  <c r="T49" i="2"/>
  <c r="CF10" i="2"/>
  <c r="T10" i="2"/>
  <c r="CG20" i="2"/>
  <c r="T20" i="2"/>
  <c r="CF49" i="2"/>
  <c r="CF20" i="2"/>
  <c r="CC75" i="2"/>
  <c r="CD75" i="2" s="1"/>
  <c r="BE15" i="2"/>
  <c r="AX15" i="2"/>
  <c r="BD15" i="2"/>
  <c r="BD75" i="2"/>
  <c r="AX75" i="2"/>
  <c r="BE75" i="2"/>
  <c r="CG5" i="2"/>
  <c r="CF5" i="2"/>
  <c r="CG10" i="2"/>
  <c r="CC50" i="2"/>
  <c r="CD50" i="2" s="1"/>
  <c r="CC48" i="2"/>
  <c r="CD48" i="2" s="1"/>
  <c r="BD48" i="2"/>
  <c r="AX48" i="2"/>
  <c r="BE48" i="2"/>
  <c r="BF8" i="2"/>
  <c r="BF51" i="2"/>
  <c r="BE50" i="2"/>
  <c r="AX50" i="2"/>
  <c r="BD50" i="2"/>
  <c r="BF52" i="2"/>
  <c r="T52" i="2" s="1"/>
  <c r="CF7" i="2"/>
  <c r="CG7" i="2"/>
  <c r="CG9" i="2"/>
  <c r="CF9" i="2"/>
  <c r="CG6" i="2"/>
  <c r="CF6" i="2"/>
  <c r="BF58" i="2"/>
  <c r="T58" i="2" s="1"/>
  <c r="BF60" i="2"/>
  <c r="T60" i="2" s="1"/>
  <c r="CB43" i="2"/>
  <c r="CC43" i="2" s="1"/>
  <c r="CD43" i="2" s="1"/>
  <c r="AX43" i="2"/>
  <c r="BE43" i="2"/>
  <c r="BD43" i="2"/>
  <c r="CB42" i="2"/>
  <c r="CC42" i="2" s="1"/>
  <c r="CD42" i="2" s="1"/>
  <c r="AX42" i="2"/>
  <c r="BD42" i="2"/>
  <c r="BE42" i="2"/>
  <c r="BF69" i="2"/>
  <c r="T69" i="2" s="1"/>
  <c r="BF57" i="2"/>
  <c r="BF70" i="2"/>
  <c r="T70" i="2" s="1"/>
  <c r="BF54" i="2"/>
  <c r="T54" i="2" s="1"/>
  <c r="CB74" i="2"/>
  <c r="CC74" i="2" s="1"/>
  <c r="CD74" i="2" s="1"/>
  <c r="CB17" i="2"/>
  <c r="CB18" i="2"/>
  <c r="CB77" i="2"/>
  <c r="CB76" i="2"/>
  <c r="CC76" i="2" s="1"/>
  <c r="CD76" i="2" s="1"/>
  <c r="CB79" i="2"/>
  <c r="CC79" i="2" s="1"/>
  <c r="CD79" i="2" s="1"/>
  <c r="CB78" i="2"/>
  <c r="CC14" i="2"/>
  <c r="CD14" i="2" s="1"/>
  <c r="CC13" i="2"/>
  <c r="CD13" i="2" s="1"/>
  <c r="CB16" i="2"/>
  <c r="CC16" i="2" s="1"/>
  <c r="CD16" i="2" s="1"/>
  <c r="CC12" i="2"/>
  <c r="CD12" i="2" s="1"/>
  <c r="BF55" i="2"/>
  <c r="T55" i="2" s="1"/>
  <c r="BF53" i="2"/>
  <c r="T53" i="2" s="1"/>
  <c r="BF61" i="2"/>
  <c r="T61" i="2" s="1"/>
  <c r="BD16" i="2"/>
  <c r="BF16" i="2" s="1"/>
  <c r="T16" i="2" s="1"/>
  <c r="AX16" i="2"/>
  <c r="BF62" i="2"/>
  <c r="BE14" i="2"/>
  <c r="BD14" i="2"/>
  <c r="AX14" i="2"/>
  <c r="BD12" i="2"/>
  <c r="BF12" i="2" s="1"/>
  <c r="AX12" i="2"/>
  <c r="BD27" i="2"/>
  <c r="BE27" i="2"/>
  <c r="AX27" i="2"/>
  <c r="BF13" i="2"/>
  <c r="T13" i="2" s="1"/>
  <c r="BD76" i="2"/>
  <c r="BE76" i="2"/>
  <c r="BE79" i="2"/>
  <c r="BD79" i="2"/>
  <c r="CF26" i="2"/>
  <c r="CG26" i="2"/>
  <c r="CF22" i="2"/>
  <c r="CG22" i="2"/>
  <c r="CF24" i="2"/>
  <c r="CG24" i="2"/>
  <c r="CF25" i="2"/>
  <c r="CG25" i="2"/>
  <c r="AX17" i="2"/>
  <c r="BD17" i="2"/>
  <c r="BF17" i="2" s="1"/>
  <c r="T17" i="2" s="1"/>
  <c r="BD18" i="2"/>
  <c r="BF18" i="2" s="1"/>
  <c r="T18" i="2" s="1"/>
  <c r="AX18" i="2"/>
  <c r="BX18" i="2"/>
  <c r="CB27" i="2"/>
  <c r="CC27" i="2" s="1"/>
  <c r="CD27" i="2" s="1"/>
  <c r="BX17" i="2"/>
  <c r="BX78" i="2"/>
  <c r="AX76" i="2"/>
  <c r="CG78" i="2"/>
  <c r="CI78" i="2" s="1"/>
  <c r="CF78" i="2"/>
  <c r="AX77" i="2"/>
  <c r="AX79" i="2"/>
  <c r="CB11" i="2"/>
  <c r="CC11" i="2" s="1"/>
  <c r="CD11" i="2" s="1"/>
  <c r="AR64" i="2"/>
  <c r="AS64" i="2"/>
  <c r="AR65" i="2"/>
  <c r="AS65" i="2"/>
  <c r="AR66" i="2"/>
  <c r="AS66" i="2"/>
  <c r="AR67" i="2"/>
  <c r="AS67" i="2"/>
  <c r="AR68" i="2"/>
  <c r="AS68" i="2"/>
  <c r="AR71" i="2"/>
  <c r="AS71" i="2"/>
  <c r="AR72" i="2"/>
  <c r="AS72" i="2"/>
  <c r="AS63" i="2"/>
  <c r="AR63" i="2"/>
  <c r="AA66" i="2"/>
  <c r="AS19" i="2"/>
  <c r="AR40" i="2"/>
  <c r="AR41" i="2"/>
  <c r="AR44" i="2"/>
  <c r="AA65" i="2"/>
  <c r="AR28" i="2"/>
  <c r="AV28" i="2" s="1"/>
  <c r="AR29" i="2"/>
  <c r="AR30" i="2"/>
  <c r="AR31" i="2"/>
  <c r="AR32" i="2"/>
  <c r="AR34" i="2"/>
  <c r="AR35" i="2"/>
  <c r="AR36" i="2"/>
  <c r="AR37" i="2"/>
  <c r="AR38" i="2"/>
  <c r="AR39" i="2"/>
  <c r="AZ29" i="2"/>
  <c r="AZ30" i="2"/>
  <c r="AZ31" i="2"/>
  <c r="AZ32" i="2"/>
  <c r="AZ33" i="2"/>
  <c r="AZ34" i="2"/>
  <c r="BY35" i="2"/>
  <c r="BZ35" i="2" s="1"/>
  <c r="AZ35" i="2"/>
  <c r="BY36" i="2"/>
  <c r="BZ36" i="2" s="1"/>
  <c r="AZ36" i="2"/>
  <c r="BY37" i="2"/>
  <c r="BZ37" i="2" s="1"/>
  <c r="AZ37" i="2"/>
  <c r="AZ38" i="2"/>
  <c r="AZ39" i="2"/>
  <c r="AA29" i="2"/>
  <c r="AD29" i="2"/>
  <c r="AA30" i="2"/>
  <c r="AD30" i="2"/>
  <c r="AA31" i="2"/>
  <c r="AD31" i="2"/>
  <c r="AA32" i="2"/>
  <c r="AD32" i="2"/>
  <c r="AA33" i="2"/>
  <c r="AD33" i="2"/>
  <c r="AA34" i="2"/>
  <c r="AD34" i="2"/>
  <c r="AA35" i="2"/>
  <c r="AD35" i="2"/>
  <c r="AA36" i="2"/>
  <c r="AD36" i="2"/>
  <c r="AA37" i="2"/>
  <c r="AD37" i="2"/>
  <c r="AA38" i="2"/>
  <c r="AD38" i="2"/>
  <c r="AA39" i="2"/>
  <c r="AD39" i="2"/>
  <c r="AD28" i="2"/>
  <c r="AA28" i="2"/>
  <c r="AC19" i="2"/>
  <c r="AA47" i="2"/>
  <c r="AZ45" i="2"/>
  <c r="AS73" i="2"/>
  <c r="AZ63" i="2"/>
  <c r="AZ71" i="2"/>
  <c r="BC71" i="2" s="1"/>
  <c r="AZ72" i="2"/>
  <c r="AZ73" i="2"/>
  <c r="AZ46" i="2"/>
  <c r="AZ47" i="2"/>
  <c r="AZ40" i="2"/>
  <c r="AZ41" i="2"/>
  <c r="AZ44" i="2"/>
  <c r="AS41" i="2"/>
  <c r="AS44" i="2"/>
  <c r="AS40" i="2"/>
  <c r="AR46" i="2"/>
  <c r="AR47" i="2"/>
  <c r="AR45" i="2"/>
  <c r="AD47" i="2"/>
  <c r="AD46" i="2"/>
  <c r="AD45" i="2"/>
  <c r="AD19" i="2"/>
  <c r="BC19" i="2" s="1"/>
  <c r="AX19" i="2" s="1"/>
  <c r="AA64" i="2"/>
  <c r="AA67" i="2"/>
  <c r="AA68" i="2"/>
  <c r="AA63" i="2"/>
  <c r="AR73" i="2"/>
  <c r="AD72" i="2"/>
  <c r="AD73" i="2"/>
  <c r="AD63" i="2"/>
  <c r="AH64" i="2"/>
  <c r="AH65" i="2" s="1"/>
  <c r="AH66" i="2" s="1"/>
  <c r="Y64" i="2"/>
  <c r="AB64" i="2"/>
  <c r="AE64" i="2"/>
  <c r="CF82" i="2" l="1"/>
  <c r="CG82" i="2"/>
  <c r="CI82" i="2" s="1"/>
  <c r="CJ82" i="2" s="1"/>
  <c r="T12" i="2"/>
  <c r="CH26" i="2"/>
  <c r="CI26" i="2" s="1"/>
  <c r="CJ26" i="2" s="1"/>
  <c r="CK26" i="2" s="1"/>
  <c r="R26" i="2" s="1"/>
  <c r="CJ49" i="2"/>
  <c r="CK49" i="2" s="1"/>
  <c r="R49" i="2" s="1"/>
  <c r="CJ21" i="2"/>
  <c r="CK21" i="2" s="1"/>
  <c r="CJ23" i="2"/>
  <c r="CK23" i="2" s="1"/>
  <c r="CJ56" i="2"/>
  <c r="CK56" i="2" s="1"/>
  <c r="CH24" i="2"/>
  <c r="CI24" i="2" s="1"/>
  <c r="CH5" i="2"/>
  <c r="CI5" i="2" s="1"/>
  <c r="CH20" i="2"/>
  <c r="CI20" i="2" s="1"/>
  <c r="CH6" i="2"/>
  <c r="CI6" i="2" s="1"/>
  <c r="CH22" i="2"/>
  <c r="CI22" i="2" s="1"/>
  <c r="CH9" i="2"/>
  <c r="CI9" i="2" s="1"/>
  <c r="CH7" i="2"/>
  <c r="CI7" i="2" s="1"/>
  <c r="CH25" i="2"/>
  <c r="CI25" i="2" s="1"/>
  <c r="CH10" i="2"/>
  <c r="CI10" i="2" s="1"/>
  <c r="CG57" i="2"/>
  <c r="T57" i="2"/>
  <c r="CG8" i="2"/>
  <c r="T8" i="2"/>
  <c r="CG62" i="2"/>
  <c r="T62" i="2"/>
  <c r="CG51" i="2"/>
  <c r="T51" i="2"/>
  <c r="BF15" i="2"/>
  <c r="BO64" i="2"/>
  <c r="BF75" i="2"/>
  <c r="T75" i="2" s="1"/>
  <c r="BU64" i="2"/>
  <c r="BY64" i="2" s="1"/>
  <c r="BZ64" i="2" s="1"/>
  <c r="BN64" i="2"/>
  <c r="BM64" i="2"/>
  <c r="BK64" i="2"/>
  <c r="BL64" i="2" s="1"/>
  <c r="BJ64" i="2"/>
  <c r="BJ19" i="2"/>
  <c r="BR19" i="2"/>
  <c r="CF8" i="2"/>
  <c r="BF50" i="2"/>
  <c r="T50" i="2" s="1"/>
  <c r="CF51" i="2"/>
  <c r="BF14" i="2"/>
  <c r="CF57" i="2"/>
  <c r="BF48" i="2"/>
  <c r="T48" i="2" s="1"/>
  <c r="BF43" i="2"/>
  <c r="CG52" i="2"/>
  <c r="CF52" i="2"/>
  <c r="CG58" i="2"/>
  <c r="CF58" i="2"/>
  <c r="CC18" i="2"/>
  <c r="CD18" i="2" s="1"/>
  <c r="CC17" i="2"/>
  <c r="CD17" i="2" s="1"/>
  <c r="BF42" i="2"/>
  <c r="CC78" i="2"/>
  <c r="CD78" i="2" s="1"/>
  <c r="CF60" i="2"/>
  <c r="CG60" i="2"/>
  <c r="CI60" i="2" s="1"/>
  <c r="CF69" i="2"/>
  <c r="CG69" i="2"/>
  <c r="CG54" i="2"/>
  <c r="CF54" i="2"/>
  <c r="BF79" i="2"/>
  <c r="T79" i="2" s="1"/>
  <c r="CG70" i="2"/>
  <c r="CF70" i="2"/>
  <c r="BF27" i="2"/>
  <c r="T27" i="2" s="1"/>
  <c r="CF55" i="2"/>
  <c r="CG55" i="2"/>
  <c r="CF62" i="2"/>
  <c r="CG53" i="2"/>
  <c r="CF53" i="2"/>
  <c r="CG61" i="2"/>
  <c r="CF61" i="2"/>
  <c r="CG16" i="2"/>
  <c r="CF16" i="2"/>
  <c r="BY30" i="2"/>
  <c r="BZ30" i="2" s="1"/>
  <c r="BY31" i="2"/>
  <c r="BZ31" i="2" s="1"/>
  <c r="BY32" i="2"/>
  <c r="BZ32" i="2" s="1"/>
  <c r="BY33" i="2"/>
  <c r="BZ33" i="2" s="1"/>
  <c r="BY34" i="2"/>
  <c r="BZ34" i="2" s="1"/>
  <c r="BY39" i="2"/>
  <c r="BZ39" i="2" s="1"/>
  <c r="BY40" i="2"/>
  <c r="BZ40" i="2" s="1"/>
  <c r="BY41" i="2"/>
  <c r="BZ41" i="2" s="1"/>
  <c r="BF76" i="2"/>
  <c r="T76" i="2" s="1"/>
  <c r="BC63" i="2"/>
  <c r="BE19" i="2"/>
  <c r="BC28" i="2"/>
  <c r="AX28" i="2" s="1"/>
  <c r="CA19" i="2"/>
  <c r="AW19" i="2"/>
  <c r="BX77" i="2"/>
  <c r="CC77" i="2" s="1"/>
  <c r="CD77" i="2" s="1"/>
  <c r="CF59" i="2"/>
  <c r="CG59" i="2"/>
  <c r="CF13" i="2"/>
  <c r="CG13" i="2"/>
  <c r="CF12" i="2"/>
  <c r="CG12" i="2"/>
  <c r="CG74" i="2"/>
  <c r="CI74" i="2" s="1"/>
  <c r="CF74" i="2"/>
  <c r="CJ78" i="2"/>
  <c r="CK78" i="2" s="1"/>
  <c r="CF11" i="2"/>
  <c r="CG11" i="2"/>
  <c r="BC73" i="2"/>
  <c r="BY73" i="2"/>
  <c r="BY71" i="2"/>
  <c r="BZ71" i="2" s="1"/>
  <c r="AB65" i="2"/>
  <c r="Y65" i="2"/>
  <c r="AW40" i="2"/>
  <c r="AW73" i="2"/>
  <c r="AW71" i="2"/>
  <c r="AW41" i="2"/>
  <c r="AW72" i="2"/>
  <c r="AW63" i="2"/>
  <c r="AE65" i="2"/>
  <c r="AW44" i="2"/>
  <c r="AS47" i="2"/>
  <c r="AS28" i="2"/>
  <c r="AW28" i="2" s="1"/>
  <c r="AS38" i="2"/>
  <c r="AS37" i="2"/>
  <c r="AS46" i="2"/>
  <c r="AS39" i="2"/>
  <c r="AS36" i="2"/>
  <c r="AS35" i="2"/>
  <c r="AV63" i="2"/>
  <c r="AS34" i="2"/>
  <c r="AS33" i="2"/>
  <c r="AS32" i="2"/>
  <c r="AV44" i="2"/>
  <c r="AV72" i="2"/>
  <c r="AV73" i="2"/>
  <c r="AS31" i="2"/>
  <c r="AV41" i="2"/>
  <c r="AS29" i="2"/>
  <c r="AS45" i="2"/>
  <c r="AS30" i="2"/>
  <c r="AV40" i="2"/>
  <c r="AV71" i="2"/>
  <c r="AV35" i="2"/>
  <c r="BY38" i="2"/>
  <c r="BZ38" i="2" s="1"/>
  <c r="BY29" i="2"/>
  <c r="BZ29" i="2" s="1"/>
  <c r="AV38" i="2"/>
  <c r="AV31" i="2"/>
  <c r="AW64" i="2"/>
  <c r="AV64" i="2"/>
  <c r="AV34" i="2"/>
  <c r="AV33" i="2"/>
  <c r="AV32" i="2"/>
  <c r="AV30" i="2"/>
  <c r="AV29" i="2"/>
  <c r="AV47" i="2"/>
  <c r="AV39" i="2"/>
  <c r="AT63" i="2"/>
  <c r="AV46" i="2"/>
  <c r="AV45" i="2"/>
  <c r="AV37" i="2"/>
  <c r="AV36" i="2"/>
  <c r="AT66" i="2"/>
  <c r="AZ66" i="2"/>
  <c r="AT40" i="2"/>
  <c r="AT65" i="2"/>
  <c r="AZ65" i="2"/>
  <c r="AH67" i="2"/>
  <c r="AH68" i="2" s="1"/>
  <c r="AT41" i="2"/>
  <c r="AT64" i="2"/>
  <c r="AT68" i="2"/>
  <c r="AT72" i="2"/>
  <c r="AT44" i="2"/>
  <c r="AT67" i="2"/>
  <c r="AT71" i="2"/>
  <c r="AT73" i="2"/>
  <c r="AZ64" i="2"/>
  <c r="AD64" i="2"/>
  <c r="CK82" i="2" l="1"/>
  <c r="R82" i="2" s="1"/>
  <c r="CF15" i="2"/>
  <c r="T15" i="2"/>
  <c r="BE63" i="2"/>
  <c r="AX63" i="2"/>
  <c r="CJ22" i="2"/>
  <c r="CJ6" i="2"/>
  <c r="R56" i="2"/>
  <c r="R23" i="2"/>
  <c r="R21" i="2"/>
  <c r="CJ7" i="2"/>
  <c r="CK7" i="2" s="1"/>
  <c r="R78" i="2"/>
  <c r="CJ9" i="2"/>
  <c r="CK9" i="2" s="1"/>
  <c r="CJ5" i="2"/>
  <c r="CJ25" i="2"/>
  <c r="CK25" i="2" s="1"/>
  <c r="CJ24" i="2"/>
  <c r="CK24" i="2" s="1"/>
  <c r="R24" i="2" s="1"/>
  <c r="CJ10" i="2"/>
  <c r="CK10" i="2" s="1"/>
  <c r="CJ20" i="2"/>
  <c r="CK20" i="2" s="1"/>
  <c r="R20" i="2" s="1"/>
  <c r="CH61" i="2"/>
  <c r="CI61" i="2" s="1"/>
  <c r="CH70" i="2"/>
  <c r="CI70" i="2" s="1"/>
  <c r="CH58" i="2"/>
  <c r="CI58" i="2" s="1"/>
  <c r="CH53" i="2"/>
  <c r="CI53" i="2" s="1"/>
  <c r="CH54" i="2"/>
  <c r="CI54" i="2" s="1"/>
  <c r="CH12" i="2"/>
  <c r="CI12" i="2" s="1"/>
  <c r="CH69" i="2"/>
  <c r="CI69" i="2" s="1"/>
  <c r="CH51" i="2"/>
  <c r="CI51" i="2" s="1"/>
  <c r="CH11" i="2"/>
  <c r="CI11" i="2" s="1"/>
  <c r="CH13" i="2"/>
  <c r="CI13" i="2" s="1"/>
  <c r="CH62" i="2"/>
  <c r="CI62" i="2" s="1"/>
  <c r="CH52" i="2"/>
  <c r="CI52" i="2" s="1"/>
  <c r="CH8" i="2"/>
  <c r="CI8" i="2" s="1"/>
  <c r="CH59" i="2"/>
  <c r="CI59" i="2" s="1"/>
  <c r="CH55" i="2"/>
  <c r="CI55" i="2" s="1"/>
  <c r="CH57" i="2"/>
  <c r="CI57" i="2" s="1"/>
  <c r="CH16" i="2"/>
  <c r="CI16" i="2" s="1"/>
  <c r="CG15" i="2"/>
  <c r="CF43" i="2"/>
  <c r="T43" i="2"/>
  <c r="CG42" i="2"/>
  <c r="T42" i="2"/>
  <c r="CG14" i="2"/>
  <c r="T14" i="2"/>
  <c r="BR64" i="2"/>
  <c r="BS64" i="2" s="1"/>
  <c r="BX64" i="2" s="1"/>
  <c r="CG75" i="2"/>
  <c r="CI75" i="2" s="1"/>
  <c r="CF75" i="2"/>
  <c r="BO65" i="2"/>
  <c r="BS19" i="2"/>
  <c r="BN65" i="2"/>
  <c r="BU65" i="2"/>
  <c r="BM65" i="2"/>
  <c r="BK65" i="2"/>
  <c r="BL65" i="2" s="1"/>
  <c r="BJ65" i="2"/>
  <c r="CG43" i="2"/>
  <c r="CF14" i="2"/>
  <c r="CF50" i="2"/>
  <c r="CG50" i="2"/>
  <c r="CI50" i="2" s="1"/>
  <c r="CG48" i="2"/>
  <c r="CI48" i="2" s="1"/>
  <c r="CF48" i="2"/>
  <c r="CF42" i="2"/>
  <c r="CJ60" i="2"/>
  <c r="CK60" i="2" s="1"/>
  <c r="CF27" i="2"/>
  <c r="CG27" i="2"/>
  <c r="CI27" i="2" s="1"/>
  <c r="BC30" i="2"/>
  <c r="AY33" i="2"/>
  <c r="AY46" i="2"/>
  <c r="BD63" i="2"/>
  <c r="BD73" i="2"/>
  <c r="BE73" i="2"/>
  <c r="BD71" i="2"/>
  <c r="BE28" i="2"/>
  <c r="BC64" i="2"/>
  <c r="BE64" i="2" s="1"/>
  <c r="BE71" i="2"/>
  <c r="BD28" i="2"/>
  <c r="CF18" i="2"/>
  <c r="CG18" i="2"/>
  <c r="CI18" i="2" s="1"/>
  <c r="CF17" i="2"/>
  <c r="CG17" i="2"/>
  <c r="BY44" i="2"/>
  <c r="BZ44" i="2" s="1"/>
  <c r="CB19" i="2"/>
  <c r="BY72" i="2"/>
  <c r="BZ72" i="2" s="1"/>
  <c r="CF76" i="2"/>
  <c r="CG76" i="2"/>
  <c r="CI76" i="2" s="1"/>
  <c r="BX71" i="2"/>
  <c r="CA64" i="2"/>
  <c r="CA71" i="2"/>
  <c r="CF77" i="2"/>
  <c r="CG77" i="2"/>
  <c r="CI77" i="2" s="1"/>
  <c r="CG79" i="2"/>
  <c r="CI79" i="2" s="1"/>
  <c r="CF79" i="2"/>
  <c r="CJ74" i="2"/>
  <c r="CK74" i="2" s="1"/>
  <c r="CA73" i="2"/>
  <c r="AB66" i="2"/>
  <c r="AD65" i="2"/>
  <c r="Y66" i="2"/>
  <c r="AW38" i="2"/>
  <c r="AT28" i="2"/>
  <c r="AT32" i="2"/>
  <c r="AT34" i="2"/>
  <c r="AT30" i="2"/>
  <c r="AT35" i="2"/>
  <c r="AW47" i="2"/>
  <c r="AT33" i="2"/>
  <c r="AW45" i="2"/>
  <c r="AT36" i="2"/>
  <c r="AT29" i="2"/>
  <c r="AT39" i="2"/>
  <c r="AW46" i="2"/>
  <c r="AT31" i="2"/>
  <c r="AW37" i="2"/>
  <c r="AW65" i="2"/>
  <c r="AV65" i="2"/>
  <c r="AE66" i="2"/>
  <c r="AY63" i="2"/>
  <c r="AY73" i="2"/>
  <c r="AW29" i="2"/>
  <c r="AT45" i="2"/>
  <c r="AW36" i="2"/>
  <c r="AW39" i="2"/>
  <c r="AT47" i="2"/>
  <c r="AT46" i="2"/>
  <c r="AW35" i="2"/>
  <c r="AT38" i="2"/>
  <c r="AT37" i="2"/>
  <c r="AW34" i="2"/>
  <c r="AW30" i="2"/>
  <c r="AW32" i="2"/>
  <c r="AW31" i="2"/>
  <c r="AW33" i="2"/>
  <c r="BC45" i="2"/>
  <c r="AY45" i="2"/>
  <c r="AY38" i="2"/>
  <c r="AZ68" i="2"/>
  <c r="AZ67" i="2"/>
  <c r="BC38" i="2"/>
  <c r="BF63" i="2" l="1"/>
  <c r="T63" i="2" s="1"/>
  <c r="CJ70" i="2"/>
  <c r="CK70" i="2" s="1"/>
  <c r="R70" i="2" s="1"/>
  <c r="CJ51" i="2"/>
  <c r="CK51" i="2" s="1"/>
  <c r="R51" i="2" s="1"/>
  <c r="CJ58" i="2"/>
  <c r="CK58" i="2" s="1"/>
  <c r="CJ79" i="2"/>
  <c r="CK79" i="2" s="1"/>
  <c r="R79" i="2" s="1"/>
  <c r="R60" i="2"/>
  <c r="R10" i="2"/>
  <c r="CJ76" i="2"/>
  <c r="CK76" i="2" s="1"/>
  <c r="R76" i="2" s="1"/>
  <c r="CJ59" i="2"/>
  <c r="CK59" i="2" s="1"/>
  <c r="R59" i="2" s="1"/>
  <c r="CJ61" i="2"/>
  <c r="CK61" i="2" s="1"/>
  <c r="CJ27" i="2"/>
  <c r="CK27" i="2" s="1"/>
  <c r="R27" i="2" s="1"/>
  <c r="CJ16" i="2"/>
  <c r="CJ69" i="2"/>
  <c r="CK69" i="2" s="1"/>
  <c r="CJ77" i="2"/>
  <c r="CK77" i="2" s="1"/>
  <c r="R77" i="2" s="1"/>
  <c r="CJ13" i="2"/>
  <c r="CK13" i="2" s="1"/>
  <c r="R25" i="2"/>
  <c r="CJ50" i="2"/>
  <c r="CK50" i="2" s="1"/>
  <c r="R50" i="2" s="1"/>
  <c r="CJ55" i="2"/>
  <c r="CK55" i="2" s="1"/>
  <c r="CJ54" i="2"/>
  <c r="R74" i="2"/>
  <c r="CJ53" i="2"/>
  <c r="CK53" i="2" s="1"/>
  <c r="CK5" i="2"/>
  <c r="R5" i="2" s="1"/>
  <c r="R9" i="2"/>
  <c r="CK6" i="2"/>
  <c r="R6" i="2" s="1"/>
  <c r="R7" i="2"/>
  <c r="CK22" i="2"/>
  <c r="R22" i="2" s="1"/>
  <c r="CJ8" i="2"/>
  <c r="CJ52" i="2"/>
  <c r="CK52" i="2" s="1"/>
  <c r="CJ62" i="2"/>
  <c r="CK62" i="2" s="1"/>
  <c r="R62" i="2" s="1"/>
  <c r="CJ11" i="2"/>
  <c r="CK11" i="2" s="1"/>
  <c r="CJ57" i="2"/>
  <c r="CK57" i="2" s="1"/>
  <c r="R57" i="2" s="1"/>
  <c r="CJ12" i="2"/>
  <c r="CK12" i="2" s="1"/>
  <c r="R12" i="2" s="1"/>
  <c r="CH15" i="2"/>
  <c r="CI15" i="2" s="1"/>
  <c r="CH43" i="2"/>
  <c r="CI43" i="2" s="1"/>
  <c r="CH17" i="2"/>
  <c r="CH14" i="2"/>
  <c r="CI14" i="2" s="1"/>
  <c r="CH42" i="2"/>
  <c r="CI42" i="2" s="1"/>
  <c r="BY46" i="2"/>
  <c r="CA46" i="2" s="1"/>
  <c r="BY47" i="2"/>
  <c r="CA47" i="2" s="1"/>
  <c r="BY45" i="2"/>
  <c r="CA45" i="2" s="1"/>
  <c r="CB45" i="2" s="1"/>
  <c r="CJ75" i="2"/>
  <c r="BU66" i="2"/>
  <c r="BY66" i="2" s="1"/>
  <c r="BZ66" i="2" s="1"/>
  <c r="BN66" i="2"/>
  <c r="BM66" i="2"/>
  <c r="BK66" i="2"/>
  <c r="BL66" i="2" s="1"/>
  <c r="BJ66" i="2"/>
  <c r="BR65" i="2"/>
  <c r="BS65" i="2" s="1"/>
  <c r="BX65" i="2" s="1"/>
  <c r="BO66" i="2"/>
  <c r="CJ48" i="2"/>
  <c r="CK48" i="2" s="1"/>
  <c r="CB73" i="2"/>
  <c r="CB71" i="2"/>
  <c r="CC71" i="2" s="1"/>
  <c r="CD71" i="2" s="1"/>
  <c r="AY40" i="2"/>
  <c r="BC40" i="2"/>
  <c r="BE40" i="2" s="1"/>
  <c r="BX40" i="2"/>
  <c r="BC41" i="2"/>
  <c r="BE41" i="2" s="1"/>
  <c r="AY41" i="2"/>
  <c r="BX30" i="2"/>
  <c r="AY30" i="2"/>
  <c r="AY31" i="2"/>
  <c r="BX31" i="2"/>
  <c r="BC31" i="2"/>
  <c r="BE31" i="2" s="1"/>
  <c r="BX32" i="2"/>
  <c r="AY32" i="2"/>
  <c r="BC32" i="2"/>
  <c r="BE32" i="2" s="1"/>
  <c r="AY34" i="2"/>
  <c r="BX34" i="2"/>
  <c r="BC34" i="2"/>
  <c r="BE34" i="2" s="1"/>
  <c r="BC39" i="2"/>
  <c r="AY39" i="2"/>
  <c r="BX39" i="2"/>
  <c r="BF28" i="2"/>
  <c r="T28" i="2" s="1"/>
  <c r="BC33" i="2"/>
  <c r="BE33" i="2" s="1"/>
  <c r="BC46" i="2"/>
  <c r="BE46" i="2" s="1"/>
  <c r="BF73" i="2"/>
  <c r="T73" i="2" s="1"/>
  <c r="BF71" i="2"/>
  <c r="T71" i="2" s="1"/>
  <c r="BY65" i="2"/>
  <c r="BE45" i="2"/>
  <c r="BC72" i="2"/>
  <c r="BE30" i="2"/>
  <c r="BE38" i="2"/>
  <c r="BC65" i="2"/>
  <c r="BD65" i="2" s="1"/>
  <c r="BD64" i="2"/>
  <c r="BF64" i="2" s="1"/>
  <c r="T64" i="2" s="1"/>
  <c r="BX28" i="2"/>
  <c r="CC28" i="2" s="1"/>
  <c r="CD28" i="2" s="1"/>
  <c r="CJ18" i="2"/>
  <c r="CK18" i="2" s="1"/>
  <c r="BX19" i="2"/>
  <c r="CC19" i="2" s="1"/>
  <c r="CD19" i="2" s="1"/>
  <c r="BX73" i="2"/>
  <c r="Y67" i="2"/>
  <c r="CA44" i="2"/>
  <c r="CB64" i="2"/>
  <c r="CC64" i="2" s="1"/>
  <c r="CD64" i="2" s="1"/>
  <c r="AB67" i="2"/>
  <c r="CA72" i="2"/>
  <c r="BX41" i="2"/>
  <c r="AD66" i="2"/>
  <c r="AX45" i="2"/>
  <c r="BD30" i="2"/>
  <c r="CA29" i="2"/>
  <c r="CA33" i="2"/>
  <c r="AW66" i="2"/>
  <c r="AV66" i="2"/>
  <c r="AE67" i="2"/>
  <c r="AY64" i="2"/>
  <c r="AY44" i="2"/>
  <c r="AY72" i="2"/>
  <c r="AY47" i="2"/>
  <c r="AY71" i="2"/>
  <c r="AY65" i="2"/>
  <c r="BX38" i="2"/>
  <c r="BD45" i="2"/>
  <c r="CA37" i="2"/>
  <c r="AY37" i="2"/>
  <c r="AY35" i="2"/>
  <c r="AY29" i="2"/>
  <c r="AY36" i="2"/>
  <c r="AX73" i="2"/>
  <c r="BD38" i="2"/>
  <c r="AX38" i="2"/>
  <c r="AX30" i="2"/>
  <c r="BC29" i="2"/>
  <c r="CA36" i="2"/>
  <c r="CA35" i="2"/>
  <c r="BC35" i="2"/>
  <c r="BE35" i="2" s="1"/>
  <c r="BC36" i="2"/>
  <c r="BE36" i="2" s="1"/>
  <c r="BC37" i="2"/>
  <c r="BE37" i="2" s="1"/>
  <c r="BC47" i="2"/>
  <c r="BC44" i="2"/>
  <c r="CI17" i="2" l="1"/>
  <c r="CJ17" i="2" s="1"/>
  <c r="CJ15" i="2"/>
  <c r="CK15" i="2" s="1"/>
  <c r="R15" i="2" s="1"/>
  <c r="R58" i="2"/>
  <c r="R11" i="2"/>
  <c r="R53" i="2"/>
  <c r="CJ42" i="2"/>
  <c r="CK42" i="2" s="1"/>
  <c r="R42" i="2" s="1"/>
  <c r="CK8" i="2"/>
  <c r="R8" i="2" s="1"/>
  <c r="R52" i="2"/>
  <c r="CK54" i="2"/>
  <c r="R54" i="2" s="1"/>
  <c r="R13" i="2"/>
  <c r="R61" i="2"/>
  <c r="R55" i="2"/>
  <c r="R18" i="2"/>
  <c r="R48" i="2"/>
  <c r="CK75" i="2"/>
  <c r="R75" i="2" s="1"/>
  <c r="R69" i="2"/>
  <c r="CK16" i="2"/>
  <c r="R16" i="2" s="1"/>
  <c r="CJ43" i="2"/>
  <c r="CJ14" i="2"/>
  <c r="CK14" i="2" s="1"/>
  <c r="BZ65" i="2"/>
  <c r="CA65" i="2" s="1"/>
  <c r="CB65" i="2" s="1"/>
  <c r="CC65" i="2" s="1"/>
  <c r="CD65" i="2" s="1"/>
  <c r="BX46" i="2"/>
  <c r="BU67" i="2"/>
  <c r="BY67" i="2" s="1"/>
  <c r="BM67" i="2"/>
  <c r="BN67" i="2"/>
  <c r="BK67" i="2"/>
  <c r="BL67" i="2" s="1"/>
  <c r="BJ67" i="2"/>
  <c r="BR66" i="2"/>
  <c r="BS66" i="2" s="1"/>
  <c r="BX66" i="2" s="1"/>
  <c r="BO67" i="2"/>
  <c r="CC73" i="2"/>
  <c r="CD73" i="2" s="1"/>
  <c r="CB47" i="2"/>
  <c r="CB33" i="2"/>
  <c r="CB46" i="2"/>
  <c r="BD40" i="2"/>
  <c r="BF40" i="2" s="1"/>
  <c r="T40" i="2" s="1"/>
  <c r="AX40" i="2"/>
  <c r="BD41" i="2"/>
  <c r="BF41" i="2" s="1"/>
  <c r="T41" i="2" s="1"/>
  <c r="AX41" i="2"/>
  <c r="BE39" i="2"/>
  <c r="BD39" i="2"/>
  <c r="AX39" i="2"/>
  <c r="BD31" i="2"/>
  <c r="BF31" i="2" s="1"/>
  <c r="T31" i="2" s="1"/>
  <c r="AX31" i="2"/>
  <c r="BD32" i="2"/>
  <c r="BF32" i="2" s="1"/>
  <c r="T32" i="2" s="1"/>
  <c r="AX32" i="2"/>
  <c r="BD34" i="2"/>
  <c r="BF34" i="2" s="1"/>
  <c r="T34" i="2" s="1"/>
  <c r="AX34" i="2"/>
  <c r="BD33" i="2"/>
  <c r="BF33" i="2" s="1"/>
  <c r="T33" i="2" s="1"/>
  <c r="AX33" i="2"/>
  <c r="BD46" i="2"/>
  <c r="BF46" i="2" s="1"/>
  <c r="T46" i="2" s="1"/>
  <c r="AX46" i="2"/>
  <c r="BF38" i="2"/>
  <c r="T38" i="2" s="1"/>
  <c r="BF30" i="2"/>
  <c r="T30" i="2" s="1"/>
  <c r="BF45" i="2"/>
  <c r="T45" i="2" s="1"/>
  <c r="BE65" i="2"/>
  <c r="BF65" i="2" s="1"/>
  <c r="T65" i="2" s="1"/>
  <c r="BE72" i="2"/>
  <c r="BD72" i="2"/>
  <c r="BE44" i="2"/>
  <c r="BE47" i="2"/>
  <c r="BE29" i="2"/>
  <c r="BC66" i="2"/>
  <c r="BD66" i="2" s="1"/>
  <c r="Y68" i="2"/>
  <c r="CC45" i="2"/>
  <c r="CD45" i="2" s="1"/>
  <c r="BX33" i="2"/>
  <c r="AD67" i="2"/>
  <c r="CB44" i="2"/>
  <c r="CB72" i="2"/>
  <c r="AB68" i="2"/>
  <c r="BX29" i="2"/>
  <c r="BX37" i="2"/>
  <c r="BX35" i="2"/>
  <c r="BX36" i="2"/>
  <c r="CA34" i="2"/>
  <c r="CA39" i="2"/>
  <c r="AX64" i="2"/>
  <c r="CA30" i="2"/>
  <c r="CA38" i="2"/>
  <c r="CA32" i="2"/>
  <c r="CA40" i="2"/>
  <c r="CA31" i="2"/>
  <c r="CA41" i="2"/>
  <c r="AW67" i="2"/>
  <c r="AE68" i="2"/>
  <c r="AV67" i="2"/>
  <c r="CB29" i="2"/>
  <c r="CB37" i="2"/>
  <c r="CB35" i="2"/>
  <c r="CB36" i="2"/>
  <c r="BD44" i="2"/>
  <c r="AY66" i="2"/>
  <c r="BD47" i="2"/>
  <c r="AX47" i="2"/>
  <c r="AX72" i="2"/>
  <c r="AX65" i="2"/>
  <c r="AX37" i="2"/>
  <c r="BD37" i="2"/>
  <c r="BF37" i="2" s="1"/>
  <c r="T37" i="2" s="1"/>
  <c r="AX71" i="2"/>
  <c r="BD35" i="2"/>
  <c r="BF35" i="2" s="1"/>
  <c r="T35" i="2" s="1"/>
  <c r="AX35" i="2"/>
  <c r="BD29" i="2"/>
  <c r="AX29" i="2"/>
  <c r="AX44" i="2"/>
  <c r="AX36" i="2"/>
  <c r="BD36" i="2"/>
  <c r="BF36" i="2" s="1"/>
  <c r="T36" i="2" s="1"/>
  <c r="BX44" i="2"/>
  <c r="BX47" i="2"/>
  <c r="CK17" i="2" l="1"/>
  <c r="R17" i="2" s="1"/>
  <c r="R14" i="2"/>
  <c r="CK43" i="2"/>
  <c r="R43" i="2" s="1"/>
  <c r="CC46" i="2"/>
  <c r="CD46" i="2" s="1"/>
  <c r="BM68" i="2"/>
  <c r="BU68" i="2"/>
  <c r="BY68" i="2" s="1"/>
  <c r="BN68" i="2"/>
  <c r="BJ68" i="2"/>
  <c r="BK68" i="2"/>
  <c r="BL68" i="2" s="1"/>
  <c r="BR67" i="2"/>
  <c r="BS67" i="2" s="1"/>
  <c r="BX67" i="2" s="1"/>
  <c r="BO68" i="2"/>
  <c r="BF39" i="2"/>
  <c r="CC33" i="2"/>
  <c r="CD33" i="2" s="1"/>
  <c r="CC29" i="2"/>
  <c r="CD29" i="2" s="1"/>
  <c r="CC47" i="2"/>
  <c r="CD47" i="2" s="1"/>
  <c r="CC37" i="2"/>
  <c r="CD37" i="2" s="1"/>
  <c r="CC35" i="2"/>
  <c r="CD35" i="2" s="1"/>
  <c r="CC36" i="2"/>
  <c r="CD36" i="2" s="1"/>
  <c r="CC44" i="2"/>
  <c r="CD44" i="2" s="1"/>
  <c r="CB34" i="2"/>
  <c r="CC34" i="2" s="1"/>
  <c r="CD34" i="2" s="1"/>
  <c r="CB39" i="2"/>
  <c r="CC39" i="2" s="1"/>
  <c r="CD39" i="2" s="1"/>
  <c r="CB30" i="2"/>
  <c r="CC30" i="2" s="1"/>
  <c r="CD30" i="2" s="1"/>
  <c r="CB38" i="2"/>
  <c r="CC38" i="2" s="1"/>
  <c r="CD38" i="2" s="1"/>
  <c r="CB32" i="2"/>
  <c r="CC32" i="2" s="1"/>
  <c r="CD32" i="2" s="1"/>
  <c r="CB40" i="2"/>
  <c r="CC40" i="2" s="1"/>
  <c r="CD40" i="2" s="1"/>
  <c r="CB31" i="2"/>
  <c r="CC31" i="2" s="1"/>
  <c r="CD31" i="2" s="1"/>
  <c r="CB41" i="2"/>
  <c r="CC41" i="2" s="1"/>
  <c r="CD41" i="2" s="1"/>
  <c r="BF29" i="2"/>
  <c r="T29" i="2" s="1"/>
  <c r="BF47" i="2"/>
  <c r="T47" i="2" s="1"/>
  <c r="BF44" i="2"/>
  <c r="T44" i="2" s="1"/>
  <c r="BF72" i="2"/>
  <c r="T72" i="2" s="1"/>
  <c r="BE66" i="2"/>
  <c r="BF66" i="2" s="1"/>
  <c r="T66" i="2" s="1"/>
  <c r="BC67" i="2"/>
  <c r="BX72" i="2"/>
  <c r="CC72" i="2" s="1"/>
  <c r="CD72" i="2" s="1"/>
  <c r="CF28" i="2"/>
  <c r="CG28" i="2"/>
  <c r="AY67" i="2"/>
  <c r="CF46" i="2"/>
  <c r="CG46" i="2"/>
  <c r="CI46" i="2" s="1"/>
  <c r="AW68" i="2"/>
  <c r="AV68" i="2"/>
  <c r="CF45" i="2"/>
  <c r="CG45" i="2"/>
  <c r="CI45" i="2" s="1"/>
  <c r="CG63" i="2"/>
  <c r="CF63" i="2"/>
  <c r="CG31" i="2"/>
  <c r="CF31" i="2"/>
  <c r="CG40" i="2"/>
  <c r="CF40" i="2"/>
  <c r="CF38" i="2"/>
  <c r="CG38" i="2"/>
  <c r="CG73" i="2"/>
  <c r="CI73" i="2" s="1"/>
  <c r="CF73" i="2"/>
  <c r="CG33" i="2"/>
  <c r="CF33" i="2"/>
  <c r="CG32" i="2"/>
  <c r="CF32" i="2"/>
  <c r="CG30" i="2"/>
  <c r="CF30" i="2"/>
  <c r="CG41" i="2"/>
  <c r="CF41" i="2"/>
  <c r="CG34" i="2"/>
  <c r="CF34" i="2"/>
  <c r="CA67" i="2"/>
  <c r="AD68" i="2"/>
  <c r="CA66" i="2"/>
  <c r="AX66" i="2"/>
  <c r="CH41" i="2" l="1"/>
  <c r="CI41" i="2" s="1"/>
  <c r="CH40" i="2"/>
  <c r="CI40" i="2" s="1"/>
  <c r="CH28" i="2"/>
  <c r="CI28" i="2" s="1"/>
  <c r="CH34" i="2"/>
  <c r="CI34" i="2" s="1"/>
  <c r="CH31" i="2"/>
  <c r="CI31" i="2" s="1"/>
  <c r="CH38" i="2"/>
  <c r="CI38" i="2" s="1"/>
  <c r="CH30" i="2"/>
  <c r="CI30" i="2" s="1"/>
  <c r="CH32" i="2"/>
  <c r="CI32" i="2" s="1"/>
  <c r="CH63" i="2"/>
  <c r="CI63" i="2" s="1"/>
  <c r="CH33" i="2"/>
  <c r="CI33" i="2" s="1"/>
  <c r="CG39" i="2"/>
  <c r="T39" i="2"/>
  <c r="BR68" i="2"/>
  <c r="BS68" i="2" s="1"/>
  <c r="BX68" i="2" s="1"/>
  <c r="CF39" i="2"/>
  <c r="CB67" i="2"/>
  <c r="CC67" i="2" s="1"/>
  <c r="CD67" i="2" s="1"/>
  <c r="CB66" i="2"/>
  <c r="CC66" i="2" s="1"/>
  <c r="CD66" i="2" s="1"/>
  <c r="BC68" i="2"/>
  <c r="BD68" i="2" s="1"/>
  <c r="BE67" i="2"/>
  <c r="BD67" i="2"/>
  <c r="AY68" i="2"/>
  <c r="CF47" i="2"/>
  <c r="CG47" i="2"/>
  <c r="CI47" i="2" s="1"/>
  <c r="CJ45" i="2"/>
  <c r="CJ46" i="2"/>
  <c r="CF64" i="2"/>
  <c r="CG64" i="2"/>
  <c r="AX67" i="2"/>
  <c r="CG29" i="2"/>
  <c r="CF29" i="2"/>
  <c r="CF37" i="2"/>
  <c r="CG37" i="2"/>
  <c r="CF65" i="2"/>
  <c r="CG65" i="2"/>
  <c r="CJ73" i="2"/>
  <c r="CG44" i="2"/>
  <c r="CF44" i="2"/>
  <c r="CF36" i="2"/>
  <c r="CG36" i="2"/>
  <c r="CF71" i="2"/>
  <c r="CG71" i="2"/>
  <c r="CG35" i="2"/>
  <c r="CF35" i="2"/>
  <c r="CA68" i="2"/>
  <c r="CJ30" i="2" l="1"/>
  <c r="CK30" i="2" s="1"/>
  <c r="R30" i="2" s="1"/>
  <c r="CJ41" i="2"/>
  <c r="CK41" i="2" s="1"/>
  <c r="CJ28" i="2"/>
  <c r="CK28" i="2" s="1"/>
  <c r="CJ40" i="2"/>
  <c r="CK40" i="2" s="1"/>
  <c r="CJ63" i="2"/>
  <c r="CK63" i="2" s="1"/>
  <c r="CK46" i="2"/>
  <c r="R46" i="2" s="1"/>
  <c r="CJ31" i="2"/>
  <c r="CK31" i="2" s="1"/>
  <c r="CJ33" i="2"/>
  <c r="CK33" i="2" s="1"/>
  <c r="CK73" i="2"/>
  <c r="R73" i="2" s="1"/>
  <c r="CJ32" i="2"/>
  <c r="CK32" i="2" s="1"/>
  <c r="CK45" i="2"/>
  <c r="R45" i="2" s="1"/>
  <c r="CJ38" i="2"/>
  <c r="CK38" i="2" s="1"/>
  <c r="R38" i="2" s="1"/>
  <c r="CJ34" i="2"/>
  <c r="CK34" i="2" s="1"/>
  <c r="CH71" i="2"/>
  <c r="CI71" i="2" s="1"/>
  <c r="CH29" i="2"/>
  <c r="CI29" i="2" s="1"/>
  <c r="CH35" i="2"/>
  <c r="CI35" i="2" s="1"/>
  <c r="CH37" i="2"/>
  <c r="CI37" i="2" s="1"/>
  <c r="CH65" i="2"/>
  <c r="CI65" i="2" s="1"/>
  <c r="CH39" i="2"/>
  <c r="CI39" i="2" s="1"/>
  <c r="CH36" i="2"/>
  <c r="CI36" i="2" s="1"/>
  <c r="CH44" i="2"/>
  <c r="CI44" i="2" s="1"/>
  <c r="CH64" i="2"/>
  <c r="CI64" i="2" s="1"/>
  <c r="CB68" i="2"/>
  <c r="CC68" i="2" s="1"/>
  <c r="CD68" i="2" s="1"/>
  <c r="BF67" i="2"/>
  <c r="T67" i="2" s="1"/>
  <c r="BE68" i="2"/>
  <c r="BF68" i="2" s="1"/>
  <c r="T68" i="2" s="1"/>
  <c r="CJ47" i="2"/>
  <c r="AX68" i="2"/>
  <c r="CF66" i="2"/>
  <c r="CG66" i="2"/>
  <c r="R40" i="2" l="1"/>
  <c r="CJ65" i="2"/>
  <c r="CK65" i="2" s="1"/>
  <c r="CJ35" i="2"/>
  <c r="CK35" i="2" s="1"/>
  <c r="CJ29" i="2"/>
  <c r="CK29" i="2" s="1"/>
  <c r="CJ37" i="2"/>
  <c r="CK37" i="2"/>
  <c r="R31" i="2"/>
  <c r="R34" i="2"/>
  <c r="R41" i="2"/>
  <c r="CJ36" i="2"/>
  <c r="CK36" i="2" s="1"/>
  <c r="R33" i="2"/>
  <c r="CJ64" i="2"/>
  <c r="CK64" i="2" s="1"/>
  <c r="R63" i="2"/>
  <c r="R32" i="2"/>
  <c r="R28" i="2"/>
  <c r="CK47" i="2"/>
  <c r="R47" i="2" s="1"/>
  <c r="CJ39" i="2"/>
  <c r="CK39" i="2" s="1"/>
  <c r="R39" i="2" s="1"/>
  <c r="CJ71" i="2"/>
  <c r="CK71" i="2" s="1"/>
  <c r="R71" i="2" s="1"/>
  <c r="CJ44" i="2"/>
  <c r="CK44" i="2" s="1"/>
  <c r="R44" i="2" s="1"/>
  <c r="CH66" i="2"/>
  <c r="CI66" i="2" s="1"/>
  <c r="CG67" i="2"/>
  <c r="CI67" i="2" s="1"/>
  <c r="CF67" i="2"/>
  <c r="CJ67" i="2" l="1"/>
  <c r="CK67" i="2" s="1"/>
  <c r="R67" i="2" s="1"/>
  <c r="CJ66" i="2"/>
  <c r="CK66" i="2" s="1"/>
  <c r="R37" i="2"/>
  <c r="R29" i="2"/>
  <c r="R35" i="2"/>
  <c r="R65" i="2"/>
  <c r="R64" i="2"/>
  <c r="R36" i="2"/>
  <c r="CF68" i="2"/>
  <c r="CG68" i="2"/>
  <c r="CI68" i="2" s="1"/>
  <c r="R66" i="2" l="1"/>
  <c r="CJ68" i="2"/>
  <c r="CK68" i="2" s="1"/>
  <c r="R68" i="2" s="1"/>
  <c r="CF72" i="2" l="1"/>
  <c r="CG72" i="2"/>
  <c r="CH72" i="2" l="1"/>
  <c r="CI72" i="2" s="1"/>
  <c r="CJ72" i="2" l="1"/>
  <c r="CK72" i="2" s="1"/>
  <c r="R72" i="2" s="1"/>
  <c r="AR19" i="2"/>
  <c r="AV19" i="2" l="1"/>
  <c r="BD19" i="2"/>
  <c r="BF19" i="2" s="1"/>
  <c r="T19" i="2" s="1"/>
  <c r="AT19" i="2"/>
  <c r="CF19" i="2" l="1"/>
  <c r="CG19" i="2"/>
  <c r="CH19" i="2" l="1"/>
  <c r="CI19" i="2" s="1"/>
  <c r="CJ19" i="2" l="1"/>
  <c r="CK19" i="2" s="1"/>
  <c r="R19" i="2" l="1"/>
</calcChain>
</file>

<file path=xl/sharedStrings.xml><?xml version="1.0" encoding="utf-8"?>
<sst xmlns="http://schemas.openxmlformats.org/spreadsheetml/2006/main" count="1420" uniqueCount="312">
  <si>
    <t>CLT</t>
  </si>
  <si>
    <t>L</t>
  </si>
  <si>
    <t>Grade</t>
  </si>
  <si>
    <t>DFL</t>
  </si>
  <si>
    <t>SPF</t>
  </si>
  <si>
    <t>Author</t>
  </si>
  <si>
    <t>Year</t>
  </si>
  <si>
    <t>DT1</t>
  </si>
  <si>
    <t>DT2</t>
  </si>
  <si>
    <t>DT3</t>
  </si>
  <si>
    <t>DT4</t>
  </si>
  <si>
    <t>DT5</t>
  </si>
  <si>
    <t>Connector</t>
  </si>
  <si>
    <t>DFL 24f-E</t>
  </si>
  <si>
    <t>-</t>
  </si>
  <si>
    <t>DT6</t>
  </si>
  <si>
    <t>Shahnewaz et al</t>
  </si>
  <si>
    <t>Zhang et al</t>
  </si>
  <si>
    <t>vSTS</t>
  </si>
  <si>
    <t>iSTS</t>
  </si>
  <si>
    <t>Glued</t>
  </si>
  <si>
    <t>Masoudnia et al</t>
  </si>
  <si>
    <t>Kleinhenz et al</t>
  </si>
  <si>
    <t>A1</t>
  </si>
  <si>
    <t>A2</t>
  </si>
  <si>
    <t>A3</t>
  </si>
  <si>
    <t>GL24h</t>
  </si>
  <si>
    <t>Chiriforush et al</t>
  </si>
  <si>
    <t>B2</t>
  </si>
  <si>
    <t>B3</t>
  </si>
  <si>
    <t>LVL</t>
  </si>
  <si>
    <t>B6</t>
  </si>
  <si>
    <t>Rib</t>
  </si>
  <si>
    <t>num_lon</t>
  </si>
  <si>
    <t>num_tran</t>
  </si>
  <si>
    <t>Ply 1</t>
  </si>
  <si>
    <t>Ply 2</t>
  </si>
  <si>
    <t>Ply 3</t>
  </si>
  <si>
    <t xml:space="preserve">Ply 4 </t>
  </si>
  <si>
    <t>Ply 5</t>
  </si>
  <si>
    <t>Centroid</t>
  </si>
  <si>
    <t>Diff</t>
  </si>
  <si>
    <t>a</t>
  </si>
  <si>
    <t>Gamma Method - prEN5</t>
  </si>
  <si>
    <t>Natali</t>
  </si>
  <si>
    <t xml:space="preserve">Specimen ID </t>
  </si>
  <si>
    <t>Hull and Lacroix</t>
  </si>
  <si>
    <t>SG-01P</t>
  </si>
  <si>
    <t>SG-01L</t>
  </si>
  <si>
    <t>SG-02P</t>
  </si>
  <si>
    <t>SG-02L</t>
  </si>
  <si>
    <t>SG-03P</t>
  </si>
  <si>
    <t>SG-03L</t>
  </si>
  <si>
    <t>Blomgren et al</t>
  </si>
  <si>
    <t>B1</t>
  </si>
  <si>
    <t>B4</t>
  </si>
  <si>
    <t>Salem</t>
  </si>
  <si>
    <t>Discrete</t>
  </si>
  <si>
    <t>Du et al</t>
  </si>
  <si>
    <t>Left</t>
  </si>
  <si>
    <t>20fEX</t>
  </si>
  <si>
    <t>V2</t>
  </si>
  <si>
    <t>Fastener Type</t>
  </si>
  <si>
    <t>Stiffness Provided</t>
  </si>
  <si>
    <t>Beam Type</t>
  </si>
  <si>
    <t>4-Point</t>
  </si>
  <si>
    <t>Point Load</t>
  </si>
  <si>
    <t>N/A</t>
  </si>
  <si>
    <t>CLT Layers</t>
  </si>
  <si>
    <t>5-Ply</t>
  </si>
  <si>
    <t>3-Ply</t>
  </si>
  <si>
    <t>Rib Material</t>
  </si>
  <si>
    <t>Glulam</t>
  </si>
  <si>
    <t>Loading Type</t>
  </si>
  <si>
    <t>Push-Out Test</t>
  </si>
  <si>
    <t>.</t>
  </si>
  <si>
    <t>Rib 
Grade/Species</t>
  </si>
  <si>
    <t>Rib 
Material</t>
  </si>
  <si>
    <t>br</t>
  </si>
  <si>
    <t>Er</t>
  </si>
  <si>
    <t>s</t>
  </si>
  <si>
    <t>bf1</t>
  </si>
  <si>
    <t>bf2</t>
  </si>
  <si>
    <t>Height (mm)</t>
  </si>
  <si>
    <r>
      <t>Etz</t>
    </r>
    <r>
      <rPr>
        <vertAlign val="superscript"/>
        <sz val="11"/>
        <color theme="1"/>
        <rFont val="Aptos Narrow"/>
        <family val="2"/>
        <scheme val="minor"/>
      </rPr>
      <t>2</t>
    </r>
  </si>
  <si>
    <t>EIGM-CLT</t>
  </si>
  <si>
    <t>EAGM-CLT</t>
  </si>
  <si>
    <t>γGM-CLT</t>
  </si>
  <si>
    <t>γGMEN5-CLT</t>
  </si>
  <si>
    <t>EAGMEN5-CLT</t>
  </si>
  <si>
    <t>aGMrib</t>
  </si>
  <si>
    <t>aGMCLT</t>
  </si>
  <si>
    <t>EIexp</t>
  </si>
  <si>
    <t>ps</t>
  </si>
  <si>
    <t>qs</t>
  </si>
  <si>
    <t>Sxy</t>
  </si>
  <si>
    <t>EIGMEN5-CLT</t>
  </si>
  <si>
    <t>Nie et al</t>
  </si>
  <si>
    <t>Beam-1</t>
  </si>
  <si>
    <t>Beam-2</t>
  </si>
  <si>
    <t>Beam-3</t>
  </si>
  <si>
    <t>Beam-4</t>
  </si>
  <si>
    <t>Beam-5</t>
  </si>
  <si>
    <t>Beam-6</t>
  </si>
  <si>
    <t>Beam-7</t>
  </si>
  <si>
    <t>8-Point</t>
  </si>
  <si>
    <t>GL17</t>
  </si>
  <si>
    <t>Larch</t>
  </si>
  <si>
    <t>Pinus</t>
  </si>
  <si>
    <t>Side beam</t>
  </si>
  <si>
    <t>Middle beam</t>
  </si>
  <si>
    <t>Jacquier et al</t>
  </si>
  <si>
    <t>B1_S</t>
  </si>
  <si>
    <t>B2_NP</t>
  </si>
  <si>
    <t>B3_NP+S</t>
  </si>
  <si>
    <t>B4_SG</t>
  </si>
  <si>
    <t>GL32</t>
  </si>
  <si>
    <t>C1</t>
  </si>
  <si>
    <t>C2</t>
  </si>
  <si>
    <t>F1</t>
  </si>
  <si>
    <t>F2</t>
  </si>
  <si>
    <t>G1</t>
  </si>
  <si>
    <t>G2</t>
  </si>
  <si>
    <t>G3</t>
  </si>
  <si>
    <t>6-Point</t>
  </si>
  <si>
    <t>Beech LVL</t>
  </si>
  <si>
    <t>Giongo et al</t>
  </si>
  <si>
    <t>Karimi et al</t>
  </si>
  <si>
    <t>#1</t>
  </si>
  <si>
    <t>#3</t>
  </si>
  <si>
    <t>#5</t>
  </si>
  <si>
    <t>#6</t>
  </si>
  <si>
    <t>#9</t>
  </si>
  <si>
    <t>C24</t>
  </si>
  <si>
    <t>GL13</t>
  </si>
  <si>
    <t>170-1</t>
  </si>
  <si>
    <t>170-2</t>
  </si>
  <si>
    <t>170-3</t>
  </si>
  <si>
    <t>170-4</t>
  </si>
  <si>
    <t>340-1</t>
  </si>
  <si>
    <t>340-2</t>
  </si>
  <si>
    <t>340-3</t>
  </si>
  <si>
    <t>340-4</t>
  </si>
  <si>
    <t>85-1</t>
  </si>
  <si>
    <t>85-2</t>
  </si>
  <si>
    <t>85-3</t>
  </si>
  <si>
    <t>85-4</t>
  </si>
  <si>
    <t>b</t>
  </si>
  <si>
    <t>Metadata</t>
  </si>
  <si>
    <t>Single Rib</t>
  </si>
  <si>
    <t>Double Rib</t>
  </si>
  <si>
    <t>EIEC5</t>
  </si>
  <si>
    <t>Num. Laminations</t>
  </si>
  <si>
    <t>Longitudinal 
Thickness, t (mm)</t>
  </si>
  <si>
    <t>Transverse
Thickness, t (mm)</t>
  </si>
  <si>
    <t>Span, L (mm)</t>
  </si>
  <si>
    <t>Material</t>
  </si>
  <si>
    <t>Grade/Species</t>
  </si>
  <si>
    <t>hr</t>
  </si>
  <si>
    <t>e</t>
  </si>
  <si>
    <t>Spacing, s (mm)</t>
  </si>
  <si>
    <t>Total Width of Flange, b (mm)</t>
  </si>
  <si>
    <t>bf2/L</t>
  </si>
  <si>
    <t>bf1/L</t>
  </si>
  <si>
    <t>bef,exp</t>
  </si>
  <si>
    <t>bef1</t>
  </si>
  <si>
    <t>bef2</t>
  </si>
  <si>
    <t>EA_f</t>
  </si>
  <si>
    <t>EA_x</t>
  </si>
  <si>
    <t>EI_r</t>
  </si>
  <si>
    <t>EI_r/mm</t>
  </si>
  <si>
    <t>hf</t>
  </si>
  <si>
    <t>bef,EC5</t>
  </si>
  <si>
    <t>B5</t>
  </si>
  <si>
    <t>T1</t>
  </si>
  <si>
    <t>T2</t>
  </si>
  <si>
    <t>T3</t>
  </si>
  <si>
    <t>T4</t>
  </si>
  <si>
    <t>T5</t>
  </si>
  <si>
    <t>T6</t>
  </si>
  <si>
    <t>Gubana</t>
  </si>
  <si>
    <t>GL24C</t>
  </si>
  <si>
    <t>Red Spruce</t>
  </si>
  <si>
    <r>
      <t xml:space="preserve"> t</t>
    </r>
    <r>
      <rPr>
        <vertAlign val="subscript"/>
        <sz val="8"/>
        <color theme="0"/>
        <rFont val="Aptos Narrow"/>
        <family val="2"/>
        <scheme val="minor"/>
      </rPr>
      <t>1</t>
    </r>
  </si>
  <si>
    <r>
      <t>E</t>
    </r>
    <r>
      <rPr>
        <vertAlign val="subscript"/>
        <sz val="8"/>
        <color theme="0"/>
        <rFont val="Aptos Narrow"/>
        <family val="2"/>
        <scheme val="minor"/>
      </rPr>
      <t>11</t>
    </r>
  </si>
  <si>
    <r>
      <t>G</t>
    </r>
    <r>
      <rPr>
        <vertAlign val="subscript"/>
        <sz val="8"/>
        <color theme="0"/>
        <rFont val="Aptos Narrow"/>
        <family val="2"/>
        <scheme val="minor"/>
      </rPr>
      <t>12</t>
    </r>
  </si>
  <si>
    <r>
      <t>t</t>
    </r>
    <r>
      <rPr>
        <vertAlign val="subscript"/>
        <sz val="8"/>
        <color theme="0"/>
        <rFont val="Aptos Narrow"/>
        <family val="2"/>
        <scheme val="minor"/>
      </rPr>
      <t>2</t>
    </r>
  </si>
  <si>
    <r>
      <t>E</t>
    </r>
    <r>
      <rPr>
        <vertAlign val="subscript"/>
        <sz val="8"/>
        <color theme="0"/>
        <rFont val="Aptos Narrow"/>
        <family val="2"/>
        <scheme val="minor"/>
      </rPr>
      <t>II</t>
    </r>
  </si>
  <si>
    <r>
      <t>t</t>
    </r>
    <r>
      <rPr>
        <vertAlign val="subscript"/>
        <sz val="8"/>
        <color theme="0"/>
        <rFont val="Aptos Narrow"/>
        <family val="2"/>
        <scheme val="minor"/>
      </rPr>
      <t>max</t>
    </r>
  </si>
  <si>
    <r>
      <t>K</t>
    </r>
    <r>
      <rPr>
        <vertAlign val="subscript"/>
        <sz val="8"/>
        <color theme="0"/>
        <rFont val="Aptos Narrow"/>
        <family val="2"/>
        <scheme val="minor"/>
      </rPr>
      <t>s</t>
    </r>
  </si>
  <si>
    <r>
      <t>EA</t>
    </r>
    <r>
      <rPr>
        <vertAlign val="subscript"/>
        <sz val="8"/>
        <color theme="0"/>
        <rFont val="Aptos Narrow"/>
        <family val="2"/>
        <scheme val="minor"/>
      </rPr>
      <t>x</t>
    </r>
    <r>
      <rPr>
        <sz val="8"/>
        <color theme="0"/>
        <rFont val="Aptos Narrow"/>
        <family val="2"/>
        <scheme val="minor"/>
      </rPr>
      <t>/S</t>
    </r>
    <r>
      <rPr>
        <vertAlign val="subscript"/>
        <sz val="8"/>
        <color theme="0"/>
        <rFont val="Aptos Narrow"/>
        <family val="2"/>
        <scheme val="minor"/>
      </rPr>
      <t>xy</t>
    </r>
  </si>
  <si>
    <r>
      <t>L/h</t>
    </r>
    <r>
      <rPr>
        <vertAlign val="subscript"/>
        <sz val="8"/>
        <color theme="0"/>
        <rFont val="Aptos Narrow"/>
        <family val="2"/>
        <scheme val="minor"/>
      </rPr>
      <t>tot</t>
    </r>
  </si>
  <si>
    <t>Floor System</t>
  </si>
  <si>
    <t>TTC Geometry, per Rib</t>
  </si>
  <si>
    <t>Flexural Stiffness</t>
  </si>
  <si>
    <t>Axial Stiffness</t>
  </si>
  <si>
    <t>Summary</t>
  </si>
  <si>
    <r>
      <t>EFW, b</t>
    </r>
    <r>
      <rPr>
        <vertAlign val="subscript"/>
        <sz val="11"/>
        <rFont val="Aptos Narrow"/>
        <family val="2"/>
        <scheme val="minor"/>
      </rPr>
      <t>ef,EC5</t>
    </r>
  </si>
  <si>
    <t>Effective Flange Width</t>
  </si>
  <si>
    <t>Target</t>
  </si>
  <si>
    <r>
      <t>Experimental Stiffness per Rib, 
 (EI)</t>
    </r>
    <r>
      <rPr>
        <vertAlign val="subscript"/>
        <sz val="11"/>
        <color theme="1"/>
        <rFont val="Aptos Narrow"/>
        <family val="2"/>
        <scheme val="minor"/>
      </rPr>
      <t xml:space="preserve">exp </t>
    </r>
    <r>
      <rPr>
        <sz val="11"/>
        <color theme="1"/>
        <rFont val="Aptos Narrow"/>
        <family val="2"/>
        <scheme val="minor"/>
      </rPr>
      <t xml:space="preserve"> (kNm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</si>
  <si>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EC5 
Stiffness per Rib, 
 (EI)</t>
    </r>
    <r>
      <rPr>
        <vertAlign val="subscript"/>
        <sz val="11"/>
        <color theme="1"/>
        <rFont val="Aptos Narrow"/>
        <family val="2"/>
        <scheme val="minor"/>
      </rPr>
      <t xml:space="preserve">EC5 </t>
    </r>
    <r>
      <rPr>
        <sz val="11"/>
        <color theme="1"/>
        <rFont val="Aptos Narrow"/>
        <family val="2"/>
        <scheme val="minor"/>
      </rPr>
      <t xml:space="preserve"> (kNm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</si>
  <si>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Different Outer Lamination Thickness, t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(mm)</t>
    </r>
  </si>
  <si>
    <r>
      <t>Shear Modulus, 
G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sz val="11"/>
        <color theme="1"/>
        <rFont val="Aptos Narrow"/>
        <family val="2"/>
        <scheme val="minor"/>
      </rPr>
      <t xml:space="preserve"> (MPa)</t>
    </r>
  </si>
  <si>
    <r>
      <t>Transverse Elastic Modulus, E</t>
    </r>
    <r>
      <rPr>
        <vertAlign val="subscript"/>
        <sz val="11"/>
        <color theme="1"/>
        <rFont val="Aptos Narrow"/>
        <family val="2"/>
        <scheme val="minor"/>
      </rPr>
      <t>II</t>
    </r>
    <r>
      <rPr>
        <sz val="11"/>
        <color theme="1"/>
        <rFont val="Aptos Narrow"/>
        <family val="2"/>
        <scheme val="minor"/>
      </rPr>
      <t xml:space="preserve"> (MPa)</t>
    </r>
  </si>
  <si>
    <r>
      <t>Max Thickness, t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(mm)</t>
    </r>
  </si>
  <si>
    <r>
      <t>Depth, 
h</t>
    </r>
    <r>
      <rPr>
        <vertAlign val="subscript"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(mm)</t>
    </r>
  </si>
  <si>
    <r>
      <t>Width, 
b</t>
    </r>
    <r>
      <rPr>
        <vertAlign val="subscript"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(mm)</t>
    </r>
  </si>
  <si>
    <r>
      <t>Elastic Modulus, E</t>
    </r>
    <r>
      <rPr>
        <vertAlign val="subscript"/>
        <sz val="11"/>
        <color theme="1"/>
        <rFont val="Aptos Narrow"/>
        <family val="2"/>
        <scheme val="minor"/>
      </rPr>
      <t xml:space="preserve">r </t>
    </r>
    <r>
      <rPr>
        <sz val="11"/>
        <color theme="1"/>
        <rFont val="Aptos Narrow"/>
        <family val="2"/>
        <scheme val="minor"/>
      </rPr>
      <t>(MPa)</t>
    </r>
  </si>
  <si>
    <r>
      <t>Clear Distance of Ribs,
 b</t>
    </r>
    <r>
      <rPr>
        <vertAlign val="subscript"/>
        <sz val="11"/>
        <color theme="1"/>
        <rFont val="Aptos Narrow"/>
        <family val="2"/>
        <scheme val="minor"/>
      </rPr>
      <t>f,i</t>
    </r>
    <r>
      <rPr>
        <sz val="11"/>
        <color theme="1"/>
        <rFont val="Aptos Narrow"/>
        <family val="2"/>
        <scheme val="minor"/>
      </rPr>
      <t xml:space="preserve"> (mm)</t>
    </r>
  </si>
  <si>
    <r>
      <t>Et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/12</t>
    </r>
  </si>
  <si>
    <r>
      <t>EI</t>
    </r>
    <r>
      <rPr>
        <vertAlign val="subscript"/>
        <sz val="11"/>
        <color theme="1"/>
        <rFont val="Aptos Narrow"/>
        <family val="2"/>
        <scheme val="minor"/>
      </rPr>
      <t>target</t>
    </r>
  </si>
  <si>
    <t>Gamma Method - Experimental</t>
  </si>
  <si>
    <t>Intermediate Calculations</t>
  </si>
  <si>
    <r>
      <t>Rib Flexural Stiffness, EI</t>
    </r>
    <r>
      <rPr>
        <vertAlign val="subscript"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(Nmm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</si>
  <si>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Flange Flexural Stiffness per Width,
 EI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(Nmm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/m)</t>
    </r>
  </si>
  <si>
    <r>
      <t>Flange Axial Stiffness per Width EA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(N/m)</t>
    </r>
  </si>
  <si>
    <r>
      <t>Rib Axial Stiffness, EA</t>
    </r>
    <r>
      <rPr>
        <vertAlign val="subscript"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(Nmm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</si>
  <si>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Slip
Modulus, K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
 (N/mm)</t>
    </r>
  </si>
  <si>
    <r>
      <t>Axial to In-Plane Shear Stiffness Ratio, EA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/S</t>
    </r>
    <r>
      <rPr>
        <vertAlign val="subscript"/>
        <sz val="11"/>
        <color theme="1"/>
        <rFont val="Aptos Narrow"/>
        <family val="2"/>
        <scheme val="minor"/>
      </rPr>
      <t>xy</t>
    </r>
  </si>
  <si>
    <r>
      <t>Span to Total Height Ratio, L/h</t>
    </r>
    <r>
      <rPr>
        <vertAlign val="subscript"/>
        <sz val="11"/>
        <color theme="1"/>
        <rFont val="Aptos Narrow"/>
        <family val="2"/>
        <scheme val="minor"/>
      </rPr>
      <t>tot</t>
    </r>
  </si>
  <si>
    <t>EFW - prEC5</t>
  </si>
  <si>
    <r>
      <t>Number of Layer Coefficient, p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</si>
  <si>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In plane Shear Stiffness Coefficient,  q</t>
    </r>
    <r>
      <rPr>
        <vertAlign val="subscript"/>
        <sz val="11"/>
        <color theme="1"/>
        <rFont val="Aptos Narrow"/>
        <family val="2"/>
        <scheme val="minor"/>
      </rPr>
      <t>s</t>
    </r>
  </si>
  <si>
    <t>Lamination Width, a (mm)</t>
  </si>
  <si>
    <r>
      <t>In Plane Shear Stiffness, S</t>
    </r>
    <r>
      <rPr>
        <vertAlign val="subscript"/>
        <sz val="11"/>
        <color theme="1"/>
        <rFont val="Aptos Narrow"/>
        <family val="2"/>
        <scheme val="minor"/>
      </rPr>
      <t>xy (</t>
    </r>
    <r>
      <rPr>
        <sz val="11"/>
        <color theme="1"/>
        <rFont val="Aptos Narrow"/>
        <family val="2"/>
        <scheme val="minor"/>
      </rPr>
      <t>MPa)</t>
    </r>
  </si>
  <si>
    <r>
      <t>Effective Width per Side, b</t>
    </r>
    <r>
      <rPr>
        <vertAlign val="subscript"/>
        <sz val="11"/>
        <color theme="1"/>
        <rFont val="Aptos Narrow"/>
        <family val="2"/>
        <scheme val="minor"/>
      </rPr>
      <t>ef1</t>
    </r>
    <r>
      <rPr>
        <sz val="11"/>
        <color theme="1"/>
        <rFont val="Aptos Narrow"/>
        <family val="2"/>
        <scheme val="minor"/>
      </rPr>
      <t xml:space="preserve"> (mm)</t>
    </r>
  </si>
  <si>
    <r>
      <t>Effective Width per Side, bef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(mm)</t>
    </r>
  </si>
  <si>
    <r>
      <t>Effective Width b</t>
    </r>
    <r>
      <rPr>
        <vertAlign val="subscript"/>
        <sz val="11"/>
        <rFont val="Aptos Narrow"/>
        <family val="2"/>
        <scheme val="minor"/>
      </rPr>
      <t xml:space="preserve">ef,EC5 </t>
    </r>
    <r>
      <rPr>
        <sz val="11"/>
        <rFont val="Aptos Narrow"/>
        <family val="2"/>
        <scheme val="minor"/>
      </rPr>
      <t>(mm)</t>
    </r>
  </si>
  <si>
    <r>
      <t>Flange Axial Stiffness  EA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(N)</t>
    </r>
  </si>
  <si>
    <r>
      <t>Flange Flexural Stiffness, EI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(Nmm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</si>
  <si>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Flange Composite Factor γ</t>
    </r>
    <r>
      <rPr>
        <vertAlign val="subscript"/>
        <sz val="9.35"/>
        <color theme="1"/>
        <rFont val="Aptos Narrow"/>
        <family val="2"/>
      </rPr>
      <t>f</t>
    </r>
  </si>
  <si>
    <r>
      <t>Flexural Stiffness, EI</t>
    </r>
    <r>
      <rPr>
        <vertAlign val="subscript"/>
        <sz val="11"/>
        <color theme="1"/>
        <rFont val="Aptos Narrow"/>
        <family val="2"/>
        <scheme val="minor"/>
      </rPr>
      <t xml:space="preserve">EC5 </t>
    </r>
    <r>
      <rPr>
        <sz val="11"/>
        <color theme="1"/>
        <rFont val="Aptos Narrow"/>
        <family val="2"/>
        <scheme val="minor"/>
      </rPr>
      <t>(MPa)</t>
    </r>
  </si>
  <si>
    <r>
      <t>Dist from Neutral Axis to Flange a</t>
    </r>
    <r>
      <rPr>
        <vertAlign val="subscript"/>
        <sz val="9.35"/>
        <color theme="1"/>
        <rFont val="Aptos Narrow"/>
        <family val="2"/>
      </rPr>
      <t xml:space="preserve">f </t>
    </r>
    <r>
      <rPr>
        <sz val="9.35"/>
        <color theme="1"/>
        <rFont val="Aptos Narrow"/>
        <family val="2"/>
      </rPr>
      <t>(mm)</t>
    </r>
  </si>
  <si>
    <r>
      <t>Dist from Neutral Axis to Rib a</t>
    </r>
    <r>
      <rPr>
        <vertAlign val="subscript"/>
        <sz val="9.35"/>
        <color theme="1"/>
        <rFont val="Aptos Narrow"/>
        <family val="2"/>
      </rPr>
      <t xml:space="preserve">r </t>
    </r>
    <r>
      <rPr>
        <sz val="9.35"/>
        <color theme="1"/>
        <rFont val="Aptos Narrow"/>
        <family val="2"/>
      </rPr>
      <t>(mm)</t>
    </r>
  </si>
  <si>
    <t>19mm Dowel</t>
  </si>
  <si>
    <t>8x240</t>
  </si>
  <si>
    <t>10x240</t>
  </si>
  <si>
    <t>6.5x160</t>
  </si>
  <si>
    <t>72x200mm Metal Plate + 6.5x160</t>
  </si>
  <si>
    <t>11x550</t>
  </si>
  <si>
    <t>Connector Type</t>
  </si>
  <si>
    <t>2 - 8x5x150</t>
  </si>
  <si>
    <t>2 - 10x220</t>
  </si>
  <si>
    <t>2 - 8.5x150</t>
  </si>
  <si>
    <t>2 - 8x300</t>
  </si>
  <si>
    <t>12x220</t>
  </si>
  <si>
    <t>16x200</t>
  </si>
  <si>
    <t>N12 Bar</t>
  </si>
  <si>
    <t>8X200</t>
  </si>
  <si>
    <t>12x220 in Grout</t>
  </si>
  <si>
    <t>8x200</t>
  </si>
  <si>
    <t>12x200</t>
  </si>
  <si>
    <t>2 - 8x200</t>
  </si>
  <si>
    <t>2 - 12x200</t>
  </si>
  <si>
    <t>8x295</t>
  </si>
  <si>
    <r>
      <t xml:space="preserve">Angle, </t>
    </r>
    <r>
      <rPr>
        <sz val="11"/>
        <color theme="1"/>
        <rFont val="Aptos Narrow"/>
        <family val="2"/>
      </rPr>
      <t>ε</t>
    </r>
    <r>
      <rPr>
        <sz val="11"/>
        <color theme="1"/>
        <rFont val="Aptos Narrow"/>
        <family val="2"/>
        <scheme val="minor"/>
      </rPr>
      <t xml:space="preserve"> (deg)</t>
    </r>
  </si>
  <si>
    <t>SPF 20f-EX</t>
  </si>
  <si>
    <t xml:space="preserve">Spruce </t>
  </si>
  <si>
    <t>SG-80_1</t>
  </si>
  <si>
    <t>SG-80_2</t>
  </si>
  <si>
    <t>SG-(2)-80_1</t>
  </si>
  <si>
    <t>SG-(2)-80_2</t>
  </si>
  <si>
    <t>Glue</t>
  </si>
  <si>
    <t>Reported in Study</t>
  </si>
  <si>
    <t>Derived from Load-Disp</t>
  </si>
  <si>
    <t>Source of Experimental
 Flexural Stiffness</t>
  </si>
  <si>
    <t>EC5</t>
  </si>
  <si>
    <t>Push Out Test</t>
  </si>
  <si>
    <t>Experimental</t>
  </si>
  <si>
    <t>Standard</t>
  </si>
  <si>
    <t>Source of Material Elastic Modulus</t>
  </si>
  <si>
    <t>Source of 
Slip Modulus</t>
  </si>
  <si>
    <r>
      <t>EFW, b</t>
    </r>
    <r>
      <rPr>
        <vertAlign val="subscript"/>
        <sz val="11"/>
        <rFont val="Aptos Narrow"/>
        <family val="2"/>
        <scheme val="minor"/>
      </rPr>
      <t>ef,bc</t>
    </r>
  </si>
  <si>
    <t>Connection Type</t>
  </si>
  <si>
    <r>
      <t>Longitudinal Elastic Modulus, E</t>
    </r>
    <r>
      <rPr>
        <vertAlign val="subscript"/>
        <sz val="11"/>
        <color theme="1"/>
        <rFont val="Aptos Narrow"/>
        <family val="2"/>
        <scheme val="minor"/>
      </rPr>
      <t xml:space="preserve">11 </t>
    </r>
    <r>
      <rPr>
        <sz val="11"/>
        <color theme="1"/>
        <rFont val="Aptos Narrow"/>
        <family val="2"/>
        <scheme val="minor"/>
      </rPr>
      <t>(MPa)</t>
    </r>
  </si>
  <si>
    <r>
      <t>Rib Spacing to Span Ratio, b</t>
    </r>
    <r>
      <rPr>
        <vertAlign val="subscript"/>
        <sz val="11"/>
        <color theme="1"/>
        <rFont val="Aptos Narrow"/>
        <family val="2"/>
        <scheme val="minor"/>
      </rPr>
      <t>f1</t>
    </r>
    <r>
      <rPr>
        <sz val="11"/>
        <color theme="1"/>
        <rFont val="Aptos Narrow"/>
        <family val="2"/>
        <scheme val="minor"/>
      </rPr>
      <t>/L</t>
    </r>
  </si>
  <si>
    <r>
      <t>Rib Spacing to Span Ratio, b</t>
    </r>
    <r>
      <rPr>
        <vertAlign val="subscript"/>
        <sz val="11"/>
        <color theme="1"/>
        <rFont val="Aptos Narrow"/>
        <family val="2"/>
        <scheme val="minor"/>
      </rPr>
      <t>f2</t>
    </r>
    <r>
      <rPr>
        <sz val="11"/>
        <color theme="1"/>
        <rFont val="Aptos Narrow"/>
        <family val="2"/>
        <scheme val="minor"/>
      </rPr>
      <t>/L</t>
    </r>
  </si>
  <si>
    <t>Paper Title</t>
  </si>
  <si>
    <t>Experimental Investigation of the Bending Behaviour of Timber-to-Timber Composite-Section Beams</t>
  </si>
  <si>
    <t>Evaluation of bending tests on composite glulam–CLT beams connected with double-sided punched metal plates and inclined screws</t>
  </si>
  <si>
    <t>Experimental testing of pre-stressed timber-to-timber composite (TTC) floors</t>
  </si>
  <si>
    <t>Composite action in mass timber floor and beam systems connected with self-tapping wood screws</t>
  </si>
  <si>
    <t>Development testing and application of mass timber composite rib floor panels for office buildings</t>
  </si>
  <si>
    <t>Predicting the Effective Flange Width of a CLT Slab in Timber Composite Beams</t>
  </si>
  <si>
    <t>Timber-timber composite (TTC) connections and beams: An experimental and numerical study</t>
  </si>
  <si>
    <t>Determination of the effective width of cross-laminated timber rib panels using digital image correlation</t>
  </si>
  <si>
    <t>Effect of web openings on timber composite beams: Testing and analytical modelling</t>
  </si>
  <si>
    <t>Experimental and analytical study of timber-timber composite (TTC) beams subjected to long-term loads</t>
  </si>
  <si>
    <t>Vibration and flexural performance of cross-laminated timber – glulam composite floors</t>
  </si>
  <si>
    <t>Study on bending performance of prefabricated glulam-cross laminated timber composite floor</t>
  </si>
  <si>
    <t>Flexural behaviour and connection efficiency of cross-laminated timber–glulam composite floor systems</t>
  </si>
  <si>
    <t>Evaluation of the Effective Flange Width of Mass Timber Composites Beams Using Digital Image Correlation and Finite Element Modelling</t>
  </si>
  <si>
    <t>Bending Performance of Screw-Glued Mass Timber Composite T-Beams</t>
  </si>
  <si>
    <t>Experimental Tests on Timber-to-CrossLam Composite Section Beams</t>
  </si>
  <si>
    <t>Reference</t>
  </si>
  <si>
    <t>A. Gubana, Experimental Tests on Timber-to-Cross Lam Composite Section Beams, in: World Conference on Timber Engineering (WCTE), Trentino, Italy, 2010.</t>
  </si>
  <si>
    <t>S. Salem, Experimental Investigation of the Bending Behaviour of Timber-to-Timber Composite-Section Beams, in: World Conference on Timber Engineering (WCTE), Quebec City, Canada, 2014.</t>
  </si>
  <si>
    <t>N. Jacquier, U.A. Girhammar, Evaluation of bending tests on composite glulam-CLT beams connected with double-sided punched metal plates and inclined screws, Constr. Build. Mater. 95 (2015) 762–773. https://doi.org/10.1016/j.conbuildmat.2015.07.137</t>
  </si>
  <si>
    <t>R. Masoudnia, A. Hashemi, P. Quenneville, Predicting the Effective Flange Width of a CLT Slab in Timber Composite Beams, Journal of Structural Engineering 144 (2018). https://doi.org/10.1061/(asce)st.1943-541x.0001979.</t>
  </si>
  <si>
    <t>I. Giongo, G. Schiro, K. Walsh, D. Riccadonna, Experimental testing of pre-stressed timber-to-timber composite (TTC) floors, Eng. Struct. 201 (2019). https://doi.org/10.1016/j.engstruct.2019.109808.</t>
  </si>
  <si>
    <t>H.-E. Blomgren, A.R. Barbosa, J. Powers, R.B. Zimmerman, Development Testing and Application of Mass Timber Composite Rib Floor Panels for Office Buildings, in: World Conference on Timber Engineering (WCTE), Santiago, Chile, 2020.</t>
  </si>
  <si>
    <t>G. Natalini, Composite Action in Mass Timber Floor and Beam Systems Connected With Self-Tapping Wood Screws, University of British Columbia, 2020.</t>
  </si>
  <si>
    <t>A.A. Chiniforush, H.R. Valipour, A. Ataei, Timber-timber composite (TTC) connections and beams: An experimental and numerical study, Constr. Build. Mater. 303 (2021). https://doi.org/10.1016/j.conbuildmat.2021.124493.</t>
  </si>
  <si>
    <t>M. Kleinhenz, M. Viertel, T. Demschner, A. Frangi, Determination Of The Effective Width Of Cross-Laminated Timber Rib Panels Using Digital Image Correlation, in: World Conference on Timber Engineering (WCTE), 2023: pp. 2416–2425. https://doi.org/10.52202/069179-0319.</t>
  </si>
  <si>
    <t>A. Karimi-Nobandegani, H. Valipour, Effect of web openings on timber composite beams: Testing and analytical modelling, Eng. Struct. 256 (2022). https://doi.org/10.1016/j.engstruct.2022.114064.</t>
  </si>
  <si>
    <t>Y. Nie, H.R. Valipour, Experimental and analytical study of timber-timber composite (TTC) beams subjected to long-term loads, Constr. Build. Mater. 342 (2022). https://doi.org/10.1016/j.conbuildmat.2022.128079</t>
  </si>
  <si>
    <t>M. Shahnewaz, C. Dickof, J. Zhou, T. Tannert, Vibration and flexural performance of cross-laminated timber – glulam composite floors, Compos. Struct. 292 (2022). https://doi.org/10.1016/j.compstruct.2022.115682</t>
  </si>
  <si>
    <t>H. Du, G. Chen, W. Fu, X. Hu, Study on bending performance of prefabricated glulam-cross laminated timber composite floor, Reviews on Advanced Materials Science 63 (2024). https://doi.org/10.1515/rams-2024-0053.</t>
  </si>
  <si>
    <t>X. Zhang, S. Zhang, B. Niu, H. Yang, Flexural behaviour and connection efficiency of cross-laminated timber–glulam composite floor systems, Structures 81 (2025). https://doi.org/10.1016/j.istruc.2025.110204.</t>
  </si>
  <si>
    <t>T. Hull, D. Lacroix, Evaluation of the Effective Flange Width of Mass Timber Composites Beams Using Digital Image Correlation and Finite Element Modelling, in: World Conference on Timber Engineering (WCTE), 2025: pp. 1990–1999. https://doi.org/10.52202/080513-0243.</t>
  </si>
  <si>
    <t>T. Hull, S. Baray, D. Lacroix, Bending Performance of Screw-Glued Mass Timber Composite T-Beams, in: Canadian Society of Civil Engineers, Quebec City,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</si>
</sst>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E+00"/>
    <numFmt numFmtId="166" formatCode="0.000"/>
  </numFmts>
  <fonts count="18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bscript"/>
      <sz val="11"/>
      <name val="Aptos Narrow"/>
      <family val="2"/>
      <scheme val="minor"/>
    </font>
    <font>
      <sz val="11"/>
      <color theme="1"/>
      <name val="Aptos Narrow"/>
      <family val="2"/>
    </font>
    <font>
      <sz val="8"/>
      <color theme="0"/>
      <name val="Aptos Narrow"/>
      <family val="2"/>
      <scheme val="minor"/>
    </font>
    <font>
      <vertAlign val="subscript"/>
      <sz val="8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vertAlign val="subscript"/>
      <sz val="9.35"/>
      <color theme="1"/>
      <name val="Aptos Narrow"/>
      <family val="2"/>
    </font>
    <font>
      <sz val="9.35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1"/>
      </left>
      <right/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09">
    <xf numFmtId="0" fontId="0" fillId="0" borderId="0" xfId="0"/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9" fontId="12" fillId="0" borderId="1" xfId="1" applyFont="1" applyBorder="1" applyAlignment="1">
      <alignment horizontal="center" vertical="center"/>
    </xf>
    <xf numFmtId="9" fontId="12" fillId="0" borderId="1" xfId="1" applyFont="1" applyFill="1" applyBorder="1" applyAlignment="1">
      <alignment horizontal="center" vertical="center" wrapText="1"/>
    </xf>
    <xf numFmtId="11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9" fontId="0" fillId="0" borderId="1" xfId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1" applyNumberFormat="1" applyFont="1" applyFill="1" applyBorder="1" applyAlignment="1">
      <alignment horizontal="center" vertical="center" wrapText="1"/>
    </xf>
    <xf numFmtId="9" fontId="0" fillId="0" borderId="1" xfId="1" applyFont="1" applyFill="1" applyBorder="1"/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1" fontId="8" fillId="0" borderId="5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5" fontId="0" fillId="0" borderId="13" xfId="0" applyNumberFormat="1" applyBorder="1" applyAlignment="1">
      <alignment horizontal="center" vertical="center" wrapText="1"/>
    </xf>
    <xf numFmtId="165" fontId="0" fillId="0" borderId="14" xfId="0" applyNumberForma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 wrapText="1"/>
    </xf>
    <xf numFmtId="1" fontId="4" fillId="0" borderId="13" xfId="0" applyNumberFormat="1" applyFont="1" applyBorder="1" applyAlignment="1">
      <alignment horizontal="center" vertical="center" wrapText="1"/>
    </xf>
    <xf numFmtId="1" fontId="4" fillId="0" borderId="14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6" fontId="0" fillId="0" borderId="29" xfId="0" applyNumberForma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1" fontId="0" fillId="0" borderId="13" xfId="0" quotePrefix="1" applyNumberFormat="1" applyBorder="1" applyAlignment="1">
      <alignment horizontal="center" vertical="center" wrapText="1"/>
    </xf>
    <xf numFmtId="1" fontId="0" fillId="0" borderId="14" xfId="0" quotePrefix="1" applyNumberFormat="1" applyBorder="1" applyAlignment="1">
      <alignment horizontal="center" vertical="center" wrapText="1"/>
    </xf>
    <xf numFmtId="9" fontId="12" fillId="0" borderId="5" xfId="1" applyFont="1" applyFill="1" applyBorder="1" applyAlignment="1">
      <alignment horizontal="center" vertical="center" wrapText="1"/>
    </xf>
    <xf numFmtId="9" fontId="0" fillId="0" borderId="6" xfId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9" fontId="0" fillId="0" borderId="2" xfId="1" applyFont="1" applyFill="1" applyBorder="1" applyAlignment="1">
      <alignment horizontal="center" vertical="center" wrapText="1"/>
    </xf>
    <xf numFmtId="9" fontId="0" fillId="0" borderId="7" xfId="1" applyFont="1" applyFill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166" fontId="0" fillId="0" borderId="9" xfId="1" applyNumberFormat="1" applyFont="1" applyFill="1" applyBorder="1" applyAlignment="1">
      <alignment horizontal="center" vertical="center" wrapText="1"/>
    </xf>
    <xf numFmtId="166" fontId="0" fillId="0" borderId="10" xfId="1" applyNumberFormat="1" applyFont="1" applyFill="1" applyBorder="1" applyAlignment="1">
      <alignment horizontal="center" vertical="center" wrapText="1"/>
    </xf>
    <xf numFmtId="166" fontId="0" fillId="0" borderId="11" xfId="1" applyNumberFormat="1" applyFont="1" applyFill="1" applyBorder="1" applyAlignment="1">
      <alignment horizontal="center" vertical="center" wrapText="1"/>
    </xf>
    <xf numFmtId="166" fontId="0" fillId="0" borderId="12" xfId="1" applyNumberFormat="1" applyFont="1" applyFill="1" applyBorder="1" applyAlignment="1">
      <alignment horizontal="center" vertical="center" wrapText="1"/>
    </xf>
    <xf numFmtId="166" fontId="0" fillId="0" borderId="13" xfId="1" applyNumberFormat="1" applyFont="1" applyFill="1" applyBorder="1" applyAlignment="1">
      <alignment horizontal="center" vertical="center" wrapText="1"/>
    </xf>
    <xf numFmtId="166" fontId="0" fillId="0" borderId="14" xfId="1" applyNumberFormat="1" applyFont="1" applyFill="1" applyBorder="1" applyAlignment="1">
      <alignment horizontal="center" vertical="center" wrapText="1"/>
    </xf>
    <xf numFmtId="164" fontId="0" fillId="0" borderId="12" xfId="1" applyNumberFormat="1" applyFont="1" applyFill="1" applyBorder="1" applyAlignment="1">
      <alignment horizontal="center" vertical="center" wrapText="1"/>
    </xf>
    <xf numFmtId="164" fontId="0" fillId="0" borderId="13" xfId="1" applyNumberFormat="1" applyFont="1" applyFill="1" applyBorder="1" applyAlignment="1">
      <alignment horizontal="center" vertical="center" wrapText="1"/>
    </xf>
    <xf numFmtId="164" fontId="0" fillId="0" borderId="14" xfId="1" applyNumberFormat="1" applyFont="1" applyFill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11" fontId="0" fillId="0" borderId="4" xfId="0" applyNumberFormat="1" applyBorder="1" applyAlignment="1">
      <alignment horizontal="center" vertical="center" wrapText="1"/>
    </xf>
    <xf numFmtId="11" fontId="0" fillId="0" borderId="9" xfId="0" applyNumberFormat="1" applyBorder="1" applyAlignment="1">
      <alignment horizontal="center" vertical="center" wrapText="1"/>
    </xf>
    <xf numFmtId="11" fontId="0" fillId="0" borderId="10" xfId="0" applyNumberFormat="1" applyBorder="1" applyAlignment="1">
      <alignment horizontal="center" vertical="center" wrapText="1"/>
    </xf>
    <xf numFmtId="11" fontId="0" fillId="0" borderId="11" xfId="0" applyNumberFormat="1" applyBorder="1" applyAlignment="1">
      <alignment horizontal="center" vertical="center" wrapText="1"/>
    </xf>
    <xf numFmtId="11" fontId="0" fillId="0" borderId="12" xfId="0" applyNumberFormat="1" applyBorder="1" applyAlignment="1">
      <alignment horizontal="center" vertical="center" wrapText="1"/>
    </xf>
    <xf numFmtId="11" fontId="0" fillId="0" borderId="13" xfId="0" applyNumberFormat="1" applyBorder="1" applyAlignment="1">
      <alignment horizontal="center" vertical="center" wrapText="1"/>
    </xf>
    <xf numFmtId="11" fontId="0" fillId="0" borderId="14" xfId="0" applyNumberForma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6" fontId="0" fillId="0" borderId="12" xfId="0" applyNumberFormat="1" applyBorder="1" applyAlignment="1">
      <alignment horizontal="center" vertical="center" wrapText="1"/>
    </xf>
    <xf numFmtId="166" fontId="0" fillId="0" borderId="13" xfId="0" applyNumberFormat="1" applyBorder="1" applyAlignment="1">
      <alignment horizontal="center" vertical="center" wrapText="1"/>
    </xf>
    <xf numFmtId="166" fontId="0" fillId="0" borderId="14" xfId="0" applyNumberFormat="1" applyBorder="1" applyAlignment="1">
      <alignment horizontal="center" vertical="center" wrapText="1"/>
    </xf>
    <xf numFmtId="165" fontId="0" fillId="0" borderId="12" xfId="0" applyNumberForma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" fontId="0" fillId="0" borderId="28" xfId="0" applyNumberFormat="1" applyBorder="1" applyAlignment="1">
      <alignment horizontal="center" vertical="center" wrapText="1"/>
    </xf>
    <xf numFmtId="1" fontId="0" fillId="0" borderId="12" xfId="0" quotePrefix="1" applyNumberFormat="1" applyBorder="1" applyAlignment="1">
      <alignment horizontal="center" vertical="center" wrapText="1"/>
    </xf>
    <xf numFmtId="165" fontId="0" fillId="0" borderId="27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165" fontId="0" fillId="0" borderId="21" xfId="0" applyNumberFormat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 wrapText="1"/>
    </xf>
    <xf numFmtId="165" fontId="0" fillId="0" borderId="34" xfId="0" applyNumberFormat="1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" fontId="0" fillId="0" borderId="30" xfId="0" applyNumberForma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 wrapText="1"/>
    </xf>
    <xf numFmtId="1" fontId="0" fillId="0" borderId="35" xfId="0" applyNumberFormat="1" applyBorder="1" applyAlignment="1">
      <alignment horizontal="center" vertical="center" wrapText="1"/>
    </xf>
    <xf numFmtId="1" fontId="4" fillId="0" borderId="35" xfId="0" applyNumberFormat="1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166" fontId="0" fillId="0" borderId="33" xfId="1" applyNumberFormat="1" applyFont="1" applyFill="1" applyBorder="1" applyAlignment="1">
      <alignment horizontal="center" vertical="center" wrapText="1"/>
    </xf>
    <xf numFmtId="166" fontId="0" fillId="0" borderId="35" xfId="1" applyNumberFormat="1" applyFont="1" applyFill="1" applyBorder="1" applyAlignment="1">
      <alignment horizontal="center" vertical="center" wrapText="1"/>
    </xf>
    <xf numFmtId="164" fontId="0" fillId="0" borderId="35" xfId="1" applyNumberFormat="1" applyFont="1" applyFill="1" applyBorder="1" applyAlignment="1">
      <alignment horizontal="center" vertical="center" wrapText="1"/>
    </xf>
    <xf numFmtId="164" fontId="0" fillId="0" borderId="35" xfId="0" applyNumberFormat="1" applyBorder="1" applyAlignment="1">
      <alignment horizontal="center" vertical="center" wrapText="1"/>
    </xf>
    <xf numFmtId="2" fontId="0" fillId="0" borderId="35" xfId="0" applyNumberForma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165" fontId="0" fillId="0" borderId="38" xfId="0" applyNumberFormat="1" applyBorder="1" applyAlignment="1">
      <alignment horizontal="center" vertical="center" wrapText="1"/>
    </xf>
    <xf numFmtId="164" fontId="0" fillId="0" borderId="38" xfId="0" applyNumberFormat="1" applyBorder="1" applyAlignment="1">
      <alignment horizontal="center" vertical="center" wrapText="1"/>
    </xf>
    <xf numFmtId="165" fontId="0" fillId="0" borderId="39" xfId="0" applyNumberFormat="1" applyBorder="1" applyAlignment="1">
      <alignment horizontal="center" vertical="center" wrapText="1"/>
    </xf>
    <xf numFmtId="11" fontId="0" fillId="0" borderId="33" xfId="0" applyNumberFormat="1" applyBorder="1" applyAlignment="1">
      <alignment horizontal="center" vertical="center" wrapText="1"/>
    </xf>
    <xf numFmtId="11" fontId="0" fillId="0" borderId="35" xfId="0" applyNumberFormat="1" applyBorder="1" applyAlignment="1">
      <alignment horizontal="center" vertical="center" wrapText="1"/>
    </xf>
    <xf numFmtId="1" fontId="0" fillId="0" borderId="37" xfId="0" applyNumberFormat="1" applyBorder="1" applyAlignment="1">
      <alignment horizontal="center" vertical="center" wrapText="1"/>
    </xf>
    <xf numFmtId="2" fontId="0" fillId="0" borderId="38" xfId="0" applyNumberFormat="1" applyBorder="1" applyAlignment="1">
      <alignment horizontal="center" vertical="center" wrapText="1"/>
    </xf>
    <xf numFmtId="166" fontId="0" fillId="0" borderId="35" xfId="0" applyNumberFormat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 wrapText="1"/>
    </xf>
    <xf numFmtId="0" fontId="0" fillId="0" borderId="35" xfId="0" quotePrefix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 wrapText="1"/>
    </xf>
    <xf numFmtId="0" fontId="0" fillId="0" borderId="14" xfId="0" quotePrefix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40" xfId="0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11" fontId="12" fillId="0" borderId="4" xfId="0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40" xfId="0" applyBorder="1" applyAlignment="1">
      <alignment horizontal="left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D54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FA0D-915F-4F2A-963D-3474E79101B9}">
  <dimension ref="A1:CL112"/>
  <sheetViews>
    <sheetView tabSelected="1" zoomScale="85" zoomScaleNormal="85" workbookViewId="0">
      <selection activeCell="C86" sqref="C86"/>
    </sheetView>
  </sheetViews>
  <sheetFormatPr defaultColWidth="8.875" defaultRowHeight="14.25" outlineLevelCol="1"/>
  <cols>
    <col min="1" max="1" width="4.375" style="8" customWidth="1"/>
    <col min="2" max="2" width="53.25" style="18" customWidth="1"/>
    <col min="3" max="3" width="47.5" style="8" customWidth="1"/>
    <col min="4" max="4" width="16.125" style="8" customWidth="1"/>
    <col min="5" max="6" width="14.875" style="8" customWidth="1"/>
    <col min="7" max="7" width="4.375" style="18" customWidth="1"/>
    <col min="8" max="8" width="14.5" style="8" customWidth="1"/>
    <col min="9" max="11" width="15.75" style="8" customWidth="1"/>
    <col min="12" max="12" width="16.125" style="8" customWidth="1"/>
    <col min="13" max="13" width="27.625" style="8" customWidth="1"/>
    <col min="14" max="15" width="20.25" style="8" customWidth="1"/>
    <col min="16" max="16" width="4.375" style="8" customWidth="1"/>
    <col min="17" max="17" width="18.625" style="9" customWidth="1"/>
    <col min="18" max="18" width="17.75" style="8" customWidth="1"/>
    <col min="19" max="19" width="15.625" style="8" customWidth="1"/>
    <col min="20" max="20" width="17.75" style="8" customWidth="1"/>
    <col min="21" max="21" width="5.5" style="19" customWidth="1"/>
    <col min="22" max="22" width="15.5" style="8" bestFit="1" customWidth="1"/>
    <col min="23" max="23" width="14.75" style="8" customWidth="1"/>
    <col min="24" max="24" width="20.375" style="8" customWidth="1"/>
    <col min="25" max="26" width="20.75" style="8" customWidth="1"/>
    <col min="27" max="27" width="17" style="8" customWidth="1"/>
    <col min="28" max="28" width="17.5" style="8" customWidth="1"/>
    <col min="29" max="29" width="17.625" style="8" customWidth="1"/>
    <col min="30" max="30" width="15.75" style="8" customWidth="1"/>
    <col min="31" max="31" width="12.875" style="8" customWidth="1"/>
    <col min="32" max="32" width="4.375" style="8" customWidth="1"/>
    <col min="33" max="33" width="12.875" style="8" customWidth="1"/>
    <col min="34" max="34" width="13.375" style="8" customWidth="1"/>
    <col min="35" max="37" width="15.25" style="8" customWidth="1"/>
    <col min="38" max="38" width="4.375" style="8" customWidth="1"/>
    <col min="39" max="39" width="28.875" style="8" bestFit="1" customWidth="1"/>
    <col min="40" max="40" width="11.5" style="8" customWidth="1"/>
    <col min="41" max="42" width="15.625" style="8" customWidth="1"/>
    <col min="43" max="43" width="4.375" style="8" customWidth="1"/>
    <col min="44" max="45" width="12.5" style="8" customWidth="1"/>
    <col min="46" max="46" width="15.625" style="8" customWidth="1"/>
    <col min="47" max="47" width="4.375" style="8" customWidth="1"/>
    <col min="48" max="49" width="15.625" style="10" customWidth="1"/>
    <col min="50" max="50" width="17.625" style="10" customWidth="1"/>
    <col min="51" max="51" width="16.125" style="8" customWidth="1"/>
    <col min="52" max="52" width="16.5" style="8" customWidth="1"/>
    <col min="53" max="53" width="26.375" style="8" customWidth="1"/>
    <col min="54" max="54" width="14.5" style="8" customWidth="1"/>
    <col min="55" max="55" width="18.125" style="8" customWidth="1" collapsed="1"/>
    <col min="56" max="56" width="16.625" style="8" customWidth="1"/>
    <col min="57" max="57" width="17.125" style="8" customWidth="1"/>
    <col min="58" max="58" width="15.625" style="8" customWidth="1"/>
    <col min="59" max="59" width="4.375" style="16" customWidth="1"/>
    <col min="60" max="67" width="15.625" style="8" hidden="1" customWidth="1" outlineLevel="1"/>
    <col min="68" max="68" width="12.75" style="8" hidden="1" customWidth="1" outlineLevel="1"/>
    <col min="69" max="69" width="12.625" style="8" hidden="1" customWidth="1" outlineLevel="1"/>
    <col min="70" max="70" width="13.375" style="8" hidden="1" customWidth="1" outlineLevel="1"/>
    <col min="71" max="71" width="18.875" style="8" customWidth="1" collapsed="1"/>
    <col min="72" max="74" width="20.125" style="8" customWidth="1"/>
    <col min="75" max="75" width="4.375" style="8" customWidth="1"/>
    <col min="76" max="76" width="18.875" style="8" customWidth="1"/>
    <col min="77" max="77" width="16.5" style="8" customWidth="1"/>
    <col min="78" max="78" width="14.5" style="8" customWidth="1"/>
    <col min="79" max="79" width="15.5" style="8" customWidth="1"/>
    <col min="80" max="80" width="18.875" style="8" customWidth="1"/>
    <col min="81" max="81" width="8.125" style="8" hidden="1" customWidth="1" outlineLevel="1"/>
    <col min="82" max="82" width="10.5" style="11" hidden="1" customWidth="1" outlineLevel="1"/>
    <col min="83" max="83" width="4.375" style="17" customWidth="1" collapsed="1"/>
    <col min="84" max="86" width="13.875" style="8" customWidth="1"/>
    <col min="87" max="87" width="15" style="8" customWidth="1"/>
    <col min="88" max="88" width="18.125" style="8" customWidth="1"/>
    <col min="89" max="89" width="13.875" style="8" customWidth="1"/>
    <col min="90" max="90" width="8.375" style="8" customWidth="1"/>
    <col min="91" max="16384" width="8.875" style="8"/>
  </cols>
  <sheetData>
    <row r="1" spans="1:90" s="1" customFormat="1">
      <c r="B1" s="150"/>
      <c r="H1" s="44" t="s">
        <v>64</v>
      </c>
      <c r="I1" s="44" t="s">
        <v>62</v>
      </c>
      <c r="J1" s="44" t="s">
        <v>68</v>
      </c>
      <c r="K1" s="44" t="s">
        <v>71</v>
      </c>
      <c r="L1" s="44" t="s">
        <v>73</v>
      </c>
      <c r="M1" s="44" t="s">
        <v>63</v>
      </c>
      <c r="N1" s="44" t="s">
        <v>74</v>
      </c>
      <c r="O1" s="44"/>
      <c r="P1" s="2"/>
      <c r="Q1" s="45" t="s">
        <v>92</v>
      </c>
      <c r="R1" s="44" t="s">
        <v>151</v>
      </c>
      <c r="S1" s="44" t="s">
        <v>164</v>
      </c>
      <c r="T1" s="44"/>
      <c r="U1" s="3" t="s">
        <v>75</v>
      </c>
      <c r="V1" s="44" t="s">
        <v>2</v>
      </c>
      <c r="W1" s="59" t="s">
        <v>152</v>
      </c>
      <c r="X1" s="60"/>
      <c r="Y1" s="59" t="s">
        <v>183</v>
      </c>
      <c r="Z1" s="59" t="s">
        <v>184</v>
      </c>
      <c r="AA1" s="59" t="s">
        <v>185</v>
      </c>
      <c r="AB1" s="59" t="s">
        <v>186</v>
      </c>
      <c r="AC1" s="59" t="s">
        <v>187</v>
      </c>
      <c r="AD1" s="59" t="s">
        <v>188</v>
      </c>
      <c r="AE1" s="59" t="s">
        <v>1</v>
      </c>
      <c r="AG1" s="44" t="s">
        <v>77</v>
      </c>
      <c r="AH1" s="44" t="s">
        <v>76</v>
      </c>
      <c r="AI1" s="44" t="s">
        <v>158</v>
      </c>
      <c r="AJ1" s="44" t="s">
        <v>78</v>
      </c>
      <c r="AK1" s="59" t="s">
        <v>79</v>
      </c>
      <c r="AM1" s="59"/>
      <c r="AN1" s="59" t="s">
        <v>159</v>
      </c>
      <c r="AO1" s="59" t="s">
        <v>80</v>
      </c>
      <c r="AP1" s="59" t="s">
        <v>189</v>
      </c>
      <c r="AR1" s="59" t="s">
        <v>81</v>
      </c>
      <c r="AS1" s="59" t="s">
        <v>82</v>
      </c>
      <c r="AT1" s="59" t="s">
        <v>147</v>
      </c>
      <c r="AV1" s="69" t="s">
        <v>163</v>
      </c>
      <c r="AW1" s="69" t="s">
        <v>162</v>
      </c>
      <c r="AX1" s="69" t="s">
        <v>190</v>
      </c>
      <c r="AY1" s="59" t="s">
        <v>191</v>
      </c>
      <c r="AZ1" s="59" t="s">
        <v>93</v>
      </c>
      <c r="BA1" s="59" t="s">
        <v>94</v>
      </c>
      <c r="BB1" s="59" t="s">
        <v>42</v>
      </c>
      <c r="BC1" s="59" t="s">
        <v>95</v>
      </c>
      <c r="BD1" s="59" t="s">
        <v>165</v>
      </c>
      <c r="BE1" s="59" t="s">
        <v>166</v>
      </c>
      <c r="BF1" s="44" t="s">
        <v>172</v>
      </c>
      <c r="BG1" s="4"/>
      <c r="BK1" s="1" t="s">
        <v>171</v>
      </c>
      <c r="BS1" s="59" t="s">
        <v>170</v>
      </c>
      <c r="BT1" s="59" t="s">
        <v>169</v>
      </c>
      <c r="BU1" s="59" t="s">
        <v>168</v>
      </c>
      <c r="BV1" s="59" t="s">
        <v>167</v>
      </c>
      <c r="BW1" s="5"/>
      <c r="BX1" s="100" t="s">
        <v>85</v>
      </c>
      <c r="BY1" s="100" t="s">
        <v>86</v>
      </c>
      <c r="BZ1" s="100" t="s">
        <v>87</v>
      </c>
      <c r="CA1" s="100" t="s">
        <v>90</v>
      </c>
      <c r="CB1" s="100" t="s">
        <v>91</v>
      </c>
      <c r="CC1" s="6" t="s">
        <v>75</v>
      </c>
      <c r="CD1" s="7" t="s">
        <v>75</v>
      </c>
      <c r="CF1" s="100" t="s">
        <v>96</v>
      </c>
      <c r="CG1" s="100" t="s">
        <v>89</v>
      </c>
      <c r="CH1" s="100" t="s">
        <v>88</v>
      </c>
      <c r="CI1" s="100" t="s">
        <v>90</v>
      </c>
      <c r="CJ1" s="100" t="s">
        <v>91</v>
      </c>
      <c r="CK1" s="100" t="s">
        <v>151</v>
      </c>
      <c r="CL1" s="6"/>
    </row>
    <row r="2" spans="1:90" s="1" customFormat="1" ht="22.9" customHeight="1">
      <c r="B2" s="150"/>
      <c r="H2" s="165" t="s">
        <v>148</v>
      </c>
      <c r="I2" s="166"/>
      <c r="J2" s="166"/>
      <c r="K2" s="166"/>
      <c r="L2" s="166"/>
      <c r="M2" s="166"/>
      <c r="N2" s="166"/>
      <c r="O2" s="162"/>
      <c r="P2" s="2"/>
      <c r="Q2" s="182" t="s">
        <v>196</v>
      </c>
      <c r="R2" s="193"/>
      <c r="S2" s="193"/>
      <c r="T2" s="183"/>
      <c r="U2" s="3" t="s">
        <v>75</v>
      </c>
      <c r="V2" s="194" t="s">
        <v>0</v>
      </c>
      <c r="W2" s="195"/>
      <c r="X2" s="195"/>
      <c r="Y2" s="195"/>
      <c r="Z2" s="195"/>
      <c r="AA2" s="195"/>
      <c r="AB2" s="195"/>
      <c r="AC2" s="195"/>
      <c r="AD2" s="195"/>
      <c r="AE2" s="196"/>
      <c r="AG2" s="165" t="s">
        <v>32</v>
      </c>
      <c r="AH2" s="166"/>
      <c r="AI2" s="166"/>
      <c r="AJ2" s="166"/>
      <c r="AK2" s="162"/>
      <c r="AM2" s="165" t="s">
        <v>12</v>
      </c>
      <c r="AN2" s="166"/>
      <c r="AO2" s="166"/>
      <c r="AP2" s="162"/>
      <c r="AR2" s="174" t="s">
        <v>193</v>
      </c>
      <c r="AS2" s="175"/>
      <c r="AT2" s="176"/>
      <c r="AV2" s="185" t="s">
        <v>221</v>
      </c>
      <c r="AW2" s="186"/>
      <c r="AX2" s="186"/>
      <c r="AY2" s="186"/>
      <c r="AZ2" s="186"/>
      <c r="BA2" s="186"/>
      <c r="BB2" s="186"/>
      <c r="BC2" s="186"/>
      <c r="BD2" s="186"/>
      <c r="BE2" s="186"/>
      <c r="BF2" s="187"/>
      <c r="BG2" s="4"/>
      <c r="BH2" s="171" t="s">
        <v>213</v>
      </c>
      <c r="BI2" s="171"/>
      <c r="BJ2" s="171"/>
      <c r="BK2" s="171"/>
      <c r="BL2" s="171"/>
      <c r="BM2" s="171"/>
      <c r="BN2" s="171"/>
      <c r="BO2" s="171"/>
      <c r="BP2" s="171"/>
      <c r="BQ2" s="171"/>
      <c r="BR2" s="184"/>
      <c r="BS2" s="165" t="s">
        <v>194</v>
      </c>
      <c r="BT2" s="162"/>
      <c r="BU2" s="161" t="s">
        <v>195</v>
      </c>
      <c r="BV2" s="162"/>
      <c r="BW2" s="5"/>
      <c r="BX2" s="165" t="s">
        <v>212</v>
      </c>
      <c r="BY2" s="166"/>
      <c r="BZ2" s="166"/>
      <c r="CA2" s="166"/>
      <c r="CB2" s="162"/>
      <c r="CC2" s="170" t="s">
        <v>199</v>
      </c>
      <c r="CD2" s="171"/>
      <c r="CF2" s="165" t="s">
        <v>43</v>
      </c>
      <c r="CG2" s="166"/>
      <c r="CH2" s="166"/>
      <c r="CI2" s="166"/>
      <c r="CJ2" s="166"/>
      <c r="CK2" s="162"/>
      <c r="CL2" s="102"/>
    </row>
    <row r="3" spans="1:90" ht="21.6" customHeight="1">
      <c r="B3" s="151"/>
      <c r="C3" s="22"/>
      <c r="D3" s="22"/>
      <c r="E3" s="25"/>
      <c r="F3" s="25"/>
      <c r="G3" s="1"/>
      <c r="H3" s="180"/>
      <c r="I3" s="181"/>
      <c r="J3" s="181"/>
      <c r="K3" s="181"/>
      <c r="L3" s="181"/>
      <c r="M3" s="181"/>
      <c r="N3" s="181"/>
      <c r="O3" s="164"/>
      <c r="P3" s="2"/>
      <c r="Q3" s="182" t="s">
        <v>194</v>
      </c>
      <c r="R3" s="183"/>
      <c r="S3" s="191" t="s">
        <v>198</v>
      </c>
      <c r="T3" s="192"/>
      <c r="U3" s="3" t="s">
        <v>75</v>
      </c>
      <c r="V3" s="197"/>
      <c r="W3" s="198"/>
      <c r="X3" s="198"/>
      <c r="Y3" s="198"/>
      <c r="Z3" s="198"/>
      <c r="AA3" s="198"/>
      <c r="AB3" s="198"/>
      <c r="AC3" s="198"/>
      <c r="AD3" s="198"/>
      <c r="AE3" s="199"/>
      <c r="AF3" s="1"/>
      <c r="AG3" s="167"/>
      <c r="AH3" s="168"/>
      <c r="AI3" s="168"/>
      <c r="AJ3" s="168"/>
      <c r="AK3" s="169"/>
      <c r="AL3" s="1"/>
      <c r="AM3" s="167"/>
      <c r="AN3" s="168"/>
      <c r="AO3" s="168"/>
      <c r="AP3" s="169"/>
      <c r="AQ3" s="1"/>
      <c r="AR3" s="177"/>
      <c r="AS3" s="178"/>
      <c r="AT3" s="179"/>
      <c r="AU3" s="1"/>
      <c r="AV3" s="188"/>
      <c r="AW3" s="189"/>
      <c r="AX3" s="189"/>
      <c r="AY3" s="189"/>
      <c r="AZ3" s="189"/>
      <c r="BA3" s="189"/>
      <c r="BB3" s="189"/>
      <c r="BC3" s="189"/>
      <c r="BD3" s="189"/>
      <c r="BE3" s="189"/>
      <c r="BF3" s="190"/>
      <c r="BG3" s="4"/>
      <c r="BH3" s="171"/>
      <c r="BI3" s="171"/>
      <c r="BJ3" s="171"/>
      <c r="BK3" s="171"/>
      <c r="BL3" s="171"/>
      <c r="BM3" s="171"/>
      <c r="BN3" s="171"/>
      <c r="BO3" s="171"/>
      <c r="BP3" s="171"/>
      <c r="BQ3" s="171"/>
      <c r="BR3" s="184"/>
      <c r="BS3" s="167"/>
      <c r="BT3" s="169"/>
      <c r="BU3" s="163"/>
      <c r="BV3" s="164"/>
      <c r="BW3" s="5"/>
      <c r="BX3" s="167"/>
      <c r="BY3" s="168"/>
      <c r="BZ3" s="168"/>
      <c r="CA3" s="168"/>
      <c r="CB3" s="169"/>
      <c r="CC3" s="170"/>
      <c r="CD3" s="171"/>
      <c r="CE3" s="1"/>
      <c r="CF3" s="167"/>
      <c r="CG3" s="168"/>
      <c r="CH3" s="168"/>
      <c r="CI3" s="168"/>
      <c r="CJ3" s="168"/>
      <c r="CK3" s="169"/>
      <c r="CL3" s="62"/>
    </row>
    <row r="4" spans="1:90" ht="49.5">
      <c r="A4" s="20"/>
      <c r="B4" s="154" t="s">
        <v>278</v>
      </c>
      <c r="C4" s="154" t="s">
        <v>295</v>
      </c>
      <c r="D4" s="26" t="s">
        <v>5</v>
      </c>
      <c r="E4" s="26" t="s">
        <v>45</v>
      </c>
      <c r="F4" s="26" t="s">
        <v>6</v>
      </c>
      <c r="G4" s="155"/>
      <c r="H4" s="157" t="s">
        <v>64</v>
      </c>
      <c r="I4" s="157" t="s">
        <v>274</v>
      </c>
      <c r="J4" s="157" t="s">
        <v>68</v>
      </c>
      <c r="K4" s="157" t="s">
        <v>71</v>
      </c>
      <c r="L4" s="157" t="s">
        <v>73</v>
      </c>
      <c r="M4" s="154" t="s">
        <v>266</v>
      </c>
      <c r="N4" s="154" t="s">
        <v>272</v>
      </c>
      <c r="O4" s="154" t="s">
        <v>271</v>
      </c>
      <c r="P4" s="156"/>
      <c r="Q4" s="47" t="s">
        <v>200</v>
      </c>
      <c r="R4" s="48" t="s">
        <v>201</v>
      </c>
      <c r="S4" s="52" t="s">
        <v>273</v>
      </c>
      <c r="T4" s="52" t="s">
        <v>197</v>
      </c>
      <c r="U4" s="3" t="s">
        <v>75</v>
      </c>
      <c r="V4" s="24" t="s">
        <v>2</v>
      </c>
      <c r="W4" s="24" t="s">
        <v>152</v>
      </c>
      <c r="X4" s="24" t="s">
        <v>202</v>
      </c>
      <c r="Y4" s="26" t="s">
        <v>153</v>
      </c>
      <c r="Z4" s="26" t="s">
        <v>275</v>
      </c>
      <c r="AA4" s="26" t="s">
        <v>203</v>
      </c>
      <c r="AB4" s="26" t="s">
        <v>154</v>
      </c>
      <c r="AC4" s="26" t="s">
        <v>204</v>
      </c>
      <c r="AD4" s="26" t="s">
        <v>205</v>
      </c>
      <c r="AE4" s="26" t="s">
        <v>155</v>
      </c>
      <c r="AF4" s="1"/>
      <c r="AG4" s="24" t="s">
        <v>156</v>
      </c>
      <c r="AH4" s="26" t="s">
        <v>157</v>
      </c>
      <c r="AI4" s="26" t="s">
        <v>206</v>
      </c>
      <c r="AJ4" s="26" t="s">
        <v>207</v>
      </c>
      <c r="AK4" s="26" t="s">
        <v>208</v>
      </c>
      <c r="AL4" s="1"/>
      <c r="AM4" s="61" t="s">
        <v>241</v>
      </c>
      <c r="AN4" s="24" t="s">
        <v>256</v>
      </c>
      <c r="AO4" s="26" t="s">
        <v>160</v>
      </c>
      <c r="AP4" s="26" t="s">
        <v>218</v>
      </c>
      <c r="AQ4" s="1"/>
      <c r="AR4" s="172" t="s">
        <v>209</v>
      </c>
      <c r="AS4" s="173"/>
      <c r="AT4" s="26" t="s">
        <v>161</v>
      </c>
      <c r="AU4" s="1"/>
      <c r="AV4" s="73" t="s">
        <v>276</v>
      </c>
      <c r="AW4" s="74" t="s">
        <v>277</v>
      </c>
      <c r="AX4" s="74" t="s">
        <v>219</v>
      </c>
      <c r="AY4" s="26" t="s">
        <v>220</v>
      </c>
      <c r="AZ4" s="26" t="s">
        <v>222</v>
      </c>
      <c r="BA4" s="26" t="s">
        <v>223</v>
      </c>
      <c r="BB4" s="26" t="s">
        <v>224</v>
      </c>
      <c r="BC4" s="26" t="s">
        <v>225</v>
      </c>
      <c r="BD4" s="26" t="s">
        <v>226</v>
      </c>
      <c r="BE4" s="26" t="s">
        <v>227</v>
      </c>
      <c r="BF4" s="52" t="s">
        <v>228</v>
      </c>
      <c r="BG4" s="4"/>
      <c r="BH4" s="8" t="s">
        <v>33</v>
      </c>
      <c r="BI4" s="8" t="s">
        <v>34</v>
      </c>
      <c r="BJ4" s="8" t="s">
        <v>210</v>
      </c>
      <c r="BK4" s="8" t="s">
        <v>83</v>
      </c>
      <c r="BL4" s="8" t="s">
        <v>40</v>
      </c>
      <c r="BM4" s="8" t="s">
        <v>35</v>
      </c>
      <c r="BN4" s="8" t="s">
        <v>36</v>
      </c>
      <c r="BO4" s="8" t="s">
        <v>37</v>
      </c>
      <c r="BP4" s="8" t="s">
        <v>38</v>
      </c>
      <c r="BQ4" s="8" t="s">
        <v>39</v>
      </c>
      <c r="BR4" s="20" t="s">
        <v>84</v>
      </c>
      <c r="BS4" s="24" t="s">
        <v>215</v>
      </c>
      <c r="BT4" s="158" t="s">
        <v>214</v>
      </c>
      <c r="BU4" s="154" t="s">
        <v>216</v>
      </c>
      <c r="BV4" s="154" t="s">
        <v>217</v>
      </c>
      <c r="BW4" s="159"/>
      <c r="BX4" s="24" t="s">
        <v>230</v>
      </c>
      <c r="BY4" s="26" t="s">
        <v>229</v>
      </c>
      <c r="BZ4" s="101" t="s">
        <v>231</v>
      </c>
      <c r="CA4" s="101" t="s">
        <v>234</v>
      </c>
      <c r="CB4" s="101" t="s">
        <v>233</v>
      </c>
      <c r="CC4" s="21" t="s">
        <v>211</v>
      </c>
      <c r="CD4" s="11" t="s">
        <v>41</v>
      </c>
      <c r="CE4" s="1"/>
      <c r="CF4" s="24" t="s">
        <v>230</v>
      </c>
      <c r="CG4" s="26" t="s">
        <v>229</v>
      </c>
      <c r="CH4" s="101" t="s">
        <v>231</v>
      </c>
      <c r="CI4" s="101" t="s">
        <v>234</v>
      </c>
      <c r="CJ4" s="101" t="s">
        <v>233</v>
      </c>
      <c r="CK4" s="26" t="s">
        <v>232</v>
      </c>
      <c r="CL4" s="21"/>
    </row>
    <row r="5" spans="1:90" ht="34.9" customHeight="1">
      <c r="A5" s="20"/>
      <c r="B5" s="200" t="s">
        <v>294</v>
      </c>
      <c r="C5" s="201" t="s">
        <v>296</v>
      </c>
      <c r="D5" s="31" t="s">
        <v>180</v>
      </c>
      <c r="E5" s="31" t="s">
        <v>174</v>
      </c>
      <c r="F5" s="31">
        <v>2010</v>
      </c>
      <c r="G5" s="1"/>
      <c r="H5" s="109" t="s">
        <v>149</v>
      </c>
      <c r="I5" s="31" t="s">
        <v>57</v>
      </c>
      <c r="J5" s="31" t="s">
        <v>70</v>
      </c>
      <c r="K5" s="31" t="s">
        <v>72</v>
      </c>
      <c r="L5" s="110" t="s">
        <v>65</v>
      </c>
      <c r="M5" s="31" t="s">
        <v>264</v>
      </c>
      <c r="N5" s="110" t="s">
        <v>267</v>
      </c>
      <c r="O5" s="110" t="s">
        <v>269</v>
      </c>
      <c r="P5" s="2"/>
      <c r="Q5" s="49">
        <f>9.16*(10^11)/1000^3</f>
        <v>916</v>
      </c>
      <c r="R5" s="53">
        <f t="shared" ref="R5:R10" si="0">CK5/1000^3</f>
        <v>1096.0756612389359</v>
      </c>
      <c r="S5" s="56">
        <v>114.40195736491688</v>
      </c>
      <c r="T5" s="53">
        <f t="shared" ref="T5:T36" si="1">BF5</f>
        <v>292.32935318389923</v>
      </c>
      <c r="U5" s="3" t="s">
        <v>75</v>
      </c>
      <c r="V5" s="27" t="s">
        <v>181</v>
      </c>
      <c r="W5" s="27">
        <v>3</v>
      </c>
      <c r="X5" s="27" t="s">
        <v>14</v>
      </c>
      <c r="Y5" s="31">
        <v>20</v>
      </c>
      <c r="Z5" s="31">
        <f>(12148+13012)/2</f>
        <v>12580</v>
      </c>
      <c r="AA5" s="53">
        <f t="shared" ref="AA5:AA10" si="2">Z5/16</f>
        <v>786.25</v>
      </c>
      <c r="AB5" s="31">
        <v>20</v>
      </c>
      <c r="AC5" s="53">
        <f>(227+386)/2</f>
        <v>306.5</v>
      </c>
      <c r="AD5" s="31">
        <f t="shared" ref="AD5:AD10" si="3">MAX(Y5,AB5)</f>
        <v>20</v>
      </c>
      <c r="AE5" s="31">
        <v>4000</v>
      </c>
      <c r="AF5" s="1"/>
      <c r="AG5" s="27" t="s">
        <v>26</v>
      </c>
      <c r="AH5" s="31" t="s">
        <v>182</v>
      </c>
      <c r="AI5" s="31">
        <v>160</v>
      </c>
      <c r="AJ5" s="31">
        <v>140</v>
      </c>
      <c r="AK5" s="31">
        <v>11600</v>
      </c>
      <c r="AL5" s="1"/>
      <c r="AM5" s="63" t="s">
        <v>235</v>
      </c>
      <c r="AN5" s="27">
        <v>90</v>
      </c>
      <c r="AO5" s="53">
        <f>2000/14</f>
        <v>142.85714285714286</v>
      </c>
      <c r="AP5" s="53">
        <f>(420^1.5)*16/23</f>
        <v>5987.7834041085671</v>
      </c>
      <c r="AQ5" s="1"/>
      <c r="AR5" s="71">
        <f>(500-140)/2</f>
        <v>180</v>
      </c>
      <c r="AS5" s="40">
        <f>AR5</f>
        <v>180</v>
      </c>
      <c r="AT5" s="72">
        <v>500</v>
      </c>
      <c r="AU5" s="1"/>
      <c r="AV5" s="77">
        <f t="shared" ref="AV5:AV36" si="4">AR5/AE5</f>
        <v>4.4999999999999998E-2</v>
      </c>
      <c r="AW5" s="80">
        <f t="shared" ref="AW5:AW36" si="5">AS5/AE5</f>
        <v>4.4999999999999998E-2</v>
      </c>
      <c r="AX5" s="83">
        <f t="shared" ref="AX5:AX36" si="6">BU5/BC5</f>
        <v>17.004827480878809</v>
      </c>
      <c r="AY5" s="86">
        <f t="shared" ref="AY5:AY36" si="7">AE5/(AI5+BK5)</f>
        <v>18.181818181818183</v>
      </c>
      <c r="AZ5" s="89">
        <f t="shared" ref="AZ5:AZ36" si="8">IF(W5&gt;3,0.43,0.53)</f>
        <v>0.53</v>
      </c>
      <c r="BA5" s="31">
        <v>1.21</v>
      </c>
      <c r="BB5" s="31">
        <v>80</v>
      </c>
      <c r="BC5" s="53">
        <f t="shared" ref="BC5:BC36" si="9">AA5*BK5 / ( 1 + 6*AZ5*(AD5/BB5)^BA5 )</f>
        <v>29591.596890108212</v>
      </c>
      <c r="BD5" s="86">
        <f t="shared" ref="BD5:BD36" si="10">AR5*(0.5 - (0.35*(AR5/AE5)^0.9 * (BU5/BC5)^0.45) )</f>
        <v>76.1646765919496</v>
      </c>
      <c r="BE5" s="86">
        <f t="shared" ref="BE5:BE36" si="11">AS5*(0.5 - (0.35*(AS5/AE5)^0.9 * (BU5/BC5)^0.45) )</f>
        <v>76.1646765919496</v>
      </c>
      <c r="BF5" s="56">
        <f t="shared" ref="BF5:BF36" si="12">BD5+BE5+AJ5</f>
        <v>292.32935318389923</v>
      </c>
      <c r="BG5" s="4"/>
      <c r="BH5" s="8">
        <f t="shared" ref="BH5:BH36" si="13">W5/2+0.5</f>
        <v>2</v>
      </c>
      <c r="BI5" s="8">
        <f t="shared" ref="BI5:BI36" si="14">W5-BH5</f>
        <v>1</v>
      </c>
      <c r="BJ5" s="13">
        <f t="shared" ref="BJ5:BJ36" si="15">IF(X5="-", BH5*(Z5*Y5^3/12)+ BI5*(AC5*AB5^3/12),
     2*(Z5*X5^3/12) + (BH5-2)*(Z5*Y5^3/12) + BI5*(AC5*AB5^3/12))</f>
        <v>16977666.666666668</v>
      </c>
      <c r="BK5" s="12">
        <f t="shared" ref="BK5:BK36" si="16">IF(X5="-",BH5*Y5+BI5*AB5, 2*X5 + (BH5-1)*Y5 + (BI5-1)*AB5)</f>
        <v>60</v>
      </c>
      <c r="BL5" s="12">
        <f t="shared" ref="BL5" si="17">BK5/2</f>
        <v>30</v>
      </c>
      <c r="BM5" s="12">
        <f t="shared" ref="BM5:BM36" si="18">IF(X5="-",Y5,X5) - IF(X5="-",Y5,X5)/2</f>
        <v>10</v>
      </c>
      <c r="BN5" s="12">
        <f t="shared" ref="BN5:BN36" si="19">IF(X5="-",Y5,X5) + AB5/2</f>
        <v>30</v>
      </c>
      <c r="BO5" s="12">
        <f t="shared" ref="BO5:BO36" si="20">IF(X5="-",Y5,X5)+AB5+IF(W5&gt;3,Y5/2,IF(X5="-",Y5,X5)/2)</f>
        <v>50</v>
      </c>
      <c r="BP5" s="12">
        <f t="shared" ref="BP5:BP36" si="21">(IF(W5&gt;3, IF(X5="-",Y5,X5) + AB5 + Y5 + AB5/2,))</f>
        <v>0</v>
      </c>
      <c r="BQ5" s="12">
        <f t="shared" ref="BQ5:BQ36" si="22">(IF(W5&gt;3, IF(X5="-",Y5,X5) + AB5 + Y5 + AB5 + IF(X5="-",Y5,X5)/2,))</f>
        <v>0</v>
      </c>
      <c r="BR5" s="92">
        <f t="shared" ref="BR5:BR36" si="23">Z5*IF(X5="-",Y5,X5)*(BL5-BM5)^2 + AC5*AB5*(BL5-BN5)^2 + Z5*Y5*(BL5-BO5)^2 + IF(W5&gt;3,(AC5*AB5*(BL5-BP5)^2 + Z5*IF(X5="-",Y5,X5)*(BL5-BQ5)^2),0)</f>
        <v>201280000</v>
      </c>
      <c r="BS5" s="94">
        <f t="shared" ref="BS5" si="24">(BJ5+BR5)</f>
        <v>218257666.66666666</v>
      </c>
      <c r="BT5" s="97">
        <f t="shared" ref="BT5:BT36" si="25">AK5*(AJ5*AI5^3/12)</f>
        <v>554325333333.33325</v>
      </c>
      <c r="BU5" s="94">
        <f t="shared" ref="BU5:BU36" si="26">IF(X5="-",Y5*Z5*BH5, 2*Z5*X5 + Y5*Z5*(BH5-2))</f>
        <v>503200</v>
      </c>
      <c r="BV5" s="97">
        <f t="shared" ref="BV5:BV36" si="27">AK5*(AI5*AJ5)</f>
        <v>259840000</v>
      </c>
      <c r="BW5" s="5"/>
      <c r="BX5" s="94">
        <f t="shared" ref="BX5:BX36" si="28">S5*BS5</f>
        <v>24969104276.566238</v>
      </c>
      <c r="BY5" s="97">
        <f t="shared" ref="BY5:BY36" si="29">S5*BU5</f>
        <v>57567064.946026176</v>
      </c>
      <c r="BZ5" s="89">
        <f t="shared" ref="BZ5:BZ36" si="30">IF(AP5="-",1, ( 1+(PI()^2*BY5*AO5/ (AP5*AE5^2)) )^-1)</f>
        <v>0.54135773447811519</v>
      </c>
      <c r="CA5" s="86">
        <f t="shared" ref="CA5:CA36" si="31">BZ5*BY5*(AI5+BK5) / (2*(BZ5*BY5 + BV5))</f>
        <v>11.780171120942939</v>
      </c>
      <c r="CB5" s="86">
        <f t="shared" ref="CB5:CB36" si="32">(BK5+AI5)/2 -  CA5</f>
        <v>98.219828879057061</v>
      </c>
      <c r="CC5" s="43">
        <f t="shared" ref="CC5:CC36" si="33">(BT5 + BV5*CA5^2 + BX5 + BZ5*BY5*CB5^2)/1000^3</f>
        <v>916.00000065713891</v>
      </c>
      <c r="CD5" s="11">
        <f t="shared" ref="CD5:CD36" si="34">Q5-CC5</f>
        <v>-6.5713891217455966E-7</v>
      </c>
      <c r="CE5" s="1"/>
      <c r="CF5" s="94">
        <f t="shared" ref="CF5:CF36" si="35">BF5*BS5</f>
        <v>63803122524.09375</v>
      </c>
      <c r="CG5" s="97">
        <f t="shared" ref="CG5:CG36" si="36">BF5*BU5</f>
        <v>147100130.52213809</v>
      </c>
      <c r="CH5" s="104">
        <f t="shared" ref="CH5:CH36" si="37">IF(AP5="-",1, ( 1+(PI()^2*CG5*AO5/ (AP5*AE5^2)) )^-1)</f>
        <v>0.31597029888394934</v>
      </c>
      <c r="CI5" s="86">
        <f t="shared" ref="CI5:CI36" si="38">CH5*CG5*(AI5+BK5) / (2*(CH5*BY5 + BV5))</f>
        <v>18.38912870967296</v>
      </c>
      <c r="CJ5" s="86">
        <f t="shared" ref="CJ5:CJ36" si="39">(BK5+AI5)/2 -  CI5</f>
        <v>91.61087129032704</v>
      </c>
      <c r="CK5" s="97">
        <f t="shared" ref="CK5:CK36" si="40">BT5 + BV5*CI5^2 + CF5 + CH5*CG5*CJ5^2</f>
        <v>1096075661238.936</v>
      </c>
      <c r="CL5" s="62"/>
    </row>
    <row r="6" spans="1:90" ht="34.9" customHeight="1">
      <c r="A6" s="20"/>
      <c r="B6" s="200"/>
      <c r="C6" s="201"/>
      <c r="D6" s="32" t="s">
        <v>180</v>
      </c>
      <c r="E6" s="32" t="s">
        <v>175</v>
      </c>
      <c r="F6" s="32">
        <v>2010</v>
      </c>
      <c r="G6" s="1"/>
      <c r="H6" s="37" t="s">
        <v>149</v>
      </c>
      <c r="I6" s="32" t="str">
        <f t="shared" ref="I6:I69" si="41">IF(AP6="-","Glue","Discrete")</f>
        <v>Discrete</v>
      </c>
      <c r="J6" s="32" t="s">
        <v>70</v>
      </c>
      <c r="K6" s="32" t="s">
        <v>72</v>
      </c>
      <c r="L6" s="38" t="s">
        <v>65</v>
      </c>
      <c r="M6" s="32" t="s">
        <v>264</v>
      </c>
      <c r="N6" s="38" t="s">
        <v>267</v>
      </c>
      <c r="O6" s="38" t="s">
        <v>269</v>
      </c>
      <c r="P6" s="2"/>
      <c r="Q6" s="50">
        <v>933</v>
      </c>
      <c r="R6" s="54">
        <f t="shared" si="0"/>
        <v>1095.9621718883091</v>
      </c>
      <c r="S6" s="57">
        <v>125.19691076820278</v>
      </c>
      <c r="T6" s="54">
        <f t="shared" si="1"/>
        <v>292.32935318389923</v>
      </c>
      <c r="U6" s="3" t="s">
        <v>75</v>
      </c>
      <c r="V6" s="28" t="s">
        <v>181</v>
      </c>
      <c r="W6" s="28">
        <v>3</v>
      </c>
      <c r="X6" s="28" t="s">
        <v>14</v>
      </c>
      <c r="Y6" s="32">
        <v>20</v>
      </c>
      <c r="Z6" s="32">
        <f t="shared" ref="Z6:Z10" si="42">(12148+13012)/2</f>
        <v>12580</v>
      </c>
      <c r="AA6" s="54">
        <f t="shared" si="2"/>
        <v>786.25</v>
      </c>
      <c r="AB6" s="32">
        <v>20</v>
      </c>
      <c r="AC6" s="54">
        <f t="shared" ref="AC6:AC10" si="43">(227+386)/2</f>
        <v>306.5</v>
      </c>
      <c r="AD6" s="32">
        <f t="shared" si="3"/>
        <v>20</v>
      </c>
      <c r="AE6" s="32">
        <v>4000</v>
      </c>
      <c r="AF6" s="1"/>
      <c r="AG6" s="28" t="s">
        <v>26</v>
      </c>
      <c r="AH6" s="32" t="s">
        <v>182</v>
      </c>
      <c r="AI6" s="32">
        <v>160</v>
      </c>
      <c r="AJ6" s="32">
        <v>140</v>
      </c>
      <c r="AK6" s="32">
        <v>11600</v>
      </c>
      <c r="AL6" s="1"/>
      <c r="AM6" s="64" t="str">
        <f>AM5</f>
        <v>19mm Dowel</v>
      </c>
      <c r="AN6" s="28">
        <v>90</v>
      </c>
      <c r="AO6" s="54">
        <f t="shared" ref="AO6:AO10" si="44">2000/14</f>
        <v>142.85714285714286</v>
      </c>
      <c r="AP6" s="54">
        <f t="shared" ref="AP6:AP10" si="45">(420^1.5)*16/23</f>
        <v>5987.7834041085671</v>
      </c>
      <c r="AQ6" s="1"/>
      <c r="AR6" s="28">
        <f t="shared" ref="AR6:AR10" si="46">(500-140)/2</f>
        <v>180</v>
      </c>
      <c r="AS6" s="32">
        <f t="shared" ref="AS6:AS10" si="47">AR6</f>
        <v>180</v>
      </c>
      <c r="AT6" s="54">
        <f>AT5</f>
        <v>500</v>
      </c>
      <c r="AU6" s="1"/>
      <c r="AV6" s="78">
        <f t="shared" si="4"/>
        <v>4.4999999999999998E-2</v>
      </c>
      <c r="AW6" s="81">
        <f t="shared" si="5"/>
        <v>4.4999999999999998E-2</v>
      </c>
      <c r="AX6" s="84">
        <f t="shared" si="6"/>
        <v>17.004827480878809</v>
      </c>
      <c r="AY6" s="87">
        <f t="shared" si="7"/>
        <v>18.181818181818183</v>
      </c>
      <c r="AZ6" s="90">
        <f t="shared" si="8"/>
        <v>0.53</v>
      </c>
      <c r="BA6" s="32">
        <v>1.21</v>
      </c>
      <c r="BB6" s="32">
        <v>80</v>
      </c>
      <c r="BC6" s="54">
        <f t="shared" si="9"/>
        <v>29591.596890108212</v>
      </c>
      <c r="BD6" s="87">
        <f t="shared" si="10"/>
        <v>76.1646765919496</v>
      </c>
      <c r="BE6" s="87">
        <f t="shared" si="11"/>
        <v>76.1646765919496</v>
      </c>
      <c r="BF6" s="57">
        <f t="shared" si="12"/>
        <v>292.32935318389923</v>
      </c>
      <c r="BG6" s="4"/>
      <c r="BH6" s="8">
        <f t="shared" si="13"/>
        <v>2</v>
      </c>
      <c r="BI6" s="8">
        <f t="shared" si="14"/>
        <v>1</v>
      </c>
      <c r="BJ6" s="13">
        <f t="shared" si="15"/>
        <v>16977666.666666668</v>
      </c>
      <c r="BK6" s="12">
        <f t="shared" si="16"/>
        <v>60</v>
      </c>
      <c r="BL6" s="12">
        <f t="shared" ref="BL6:BL69" si="48">BK6/2</f>
        <v>30</v>
      </c>
      <c r="BM6" s="12">
        <f t="shared" si="18"/>
        <v>10</v>
      </c>
      <c r="BN6" s="12">
        <f t="shared" si="19"/>
        <v>30</v>
      </c>
      <c r="BO6" s="12">
        <f t="shared" si="20"/>
        <v>50</v>
      </c>
      <c r="BP6" s="12">
        <f t="shared" si="21"/>
        <v>0</v>
      </c>
      <c r="BQ6" s="12">
        <f t="shared" si="22"/>
        <v>0</v>
      </c>
      <c r="BR6" s="92">
        <f t="shared" si="23"/>
        <v>201280000</v>
      </c>
      <c r="BS6" s="95">
        <f t="shared" ref="BS6:BS69" si="49">(BJ6+BR6)</f>
        <v>218257666.66666666</v>
      </c>
      <c r="BT6" s="98">
        <f t="shared" si="25"/>
        <v>554325333333.33325</v>
      </c>
      <c r="BU6" s="95">
        <f t="shared" si="26"/>
        <v>503200</v>
      </c>
      <c r="BV6" s="98">
        <f t="shared" si="27"/>
        <v>259840000</v>
      </c>
      <c r="BW6" s="5"/>
      <c r="BX6" s="95">
        <f t="shared" si="28"/>
        <v>27325185618.142811</v>
      </c>
      <c r="BY6" s="98">
        <f t="shared" si="29"/>
        <v>62999085.498559639</v>
      </c>
      <c r="BZ6" s="90">
        <f t="shared" si="30"/>
        <v>0.51890103496458573</v>
      </c>
      <c r="CA6" s="87">
        <f t="shared" si="31"/>
        <v>12.292511538457573</v>
      </c>
      <c r="CB6" s="87">
        <f t="shared" si="32"/>
        <v>97.707488461542425</v>
      </c>
      <c r="CC6" s="43">
        <f t="shared" si="33"/>
        <v>933.00000074828574</v>
      </c>
      <c r="CD6" s="11">
        <f t="shared" si="34"/>
        <v>-7.4828574270213721E-7</v>
      </c>
      <c r="CE6" s="1"/>
      <c r="CF6" s="95">
        <f t="shared" si="35"/>
        <v>63803122524.09375</v>
      </c>
      <c r="CG6" s="98">
        <f t="shared" si="36"/>
        <v>147100130.52213809</v>
      </c>
      <c r="CH6" s="105">
        <f t="shared" si="37"/>
        <v>0.31597029888394934</v>
      </c>
      <c r="CI6" s="87">
        <f t="shared" si="38"/>
        <v>18.276303751504798</v>
      </c>
      <c r="CJ6" s="87">
        <f t="shared" si="39"/>
        <v>91.723696248495202</v>
      </c>
      <c r="CK6" s="98">
        <f t="shared" si="40"/>
        <v>1095962171888.309</v>
      </c>
      <c r="CL6" s="62"/>
    </row>
    <row r="7" spans="1:90" ht="34.9" customHeight="1">
      <c r="A7" s="20"/>
      <c r="B7" s="200"/>
      <c r="C7" s="201"/>
      <c r="D7" s="32" t="s">
        <v>180</v>
      </c>
      <c r="E7" s="32" t="s">
        <v>176</v>
      </c>
      <c r="F7" s="32">
        <v>2010</v>
      </c>
      <c r="G7" s="1"/>
      <c r="H7" s="37" t="s">
        <v>149</v>
      </c>
      <c r="I7" s="32" t="str">
        <f t="shared" si="41"/>
        <v>Discrete</v>
      </c>
      <c r="J7" s="32" t="s">
        <v>70</v>
      </c>
      <c r="K7" s="32" t="s">
        <v>72</v>
      </c>
      <c r="L7" s="38" t="s">
        <v>65</v>
      </c>
      <c r="M7" s="32" t="s">
        <v>264</v>
      </c>
      <c r="N7" s="38" t="s">
        <v>267</v>
      </c>
      <c r="O7" s="38" t="s">
        <v>269</v>
      </c>
      <c r="P7" s="2"/>
      <c r="Q7" s="50">
        <v>842</v>
      </c>
      <c r="R7" s="54">
        <f t="shared" si="0"/>
        <v>1096.5545460374169</v>
      </c>
      <c r="S7" s="57">
        <v>76.207708507423249</v>
      </c>
      <c r="T7" s="54">
        <f t="shared" si="1"/>
        <v>292.32935318389923</v>
      </c>
      <c r="U7" s="3" t="s">
        <v>75</v>
      </c>
      <c r="V7" s="28" t="s">
        <v>181</v>
      </c>
      <c r="W7" s="28">
        <v>3</v>
      </c>
      <c r="X7" s="28" t="s">
        <v>14</v>
      </c>
      <c r="Y7" s="32">
        <v>20</v>
      </c>
      <c r="Z7" s="32">
        <f t="shared" si="42"/>
        <v>12580</v>
      </c>
      <c r="AA7" s="54">
        <f t="shared" si="2"/>
        <v>786.25</v>
      </c>
      <c r="AB7" s="32">
        <v>20</v>
      </c>
      <c r="AC7" s="54">
        <f t="shared" si="43"/>
        <v>306.5</v>
      </c>
      <c r="AD7" s="32">
        <f t="shared" si="3"/>
        <v>20</v>
      </c>
      <c r="AE7" s="32">
        <v>4000</v>
      </c>
      <c r="AF7" s="1"/>
      <c r="AG7" s="28" t="s">
        <v>26</v>
      </c>
      <c r="AH7" s="32" t="s">
        <v>182</v>
      </c>
      <c r="AI7" s="32">
        <v>160</v>
      </c>
      <c r="AJ7" s="32">
        <v>140</v>
      </c>
      <c r="AK7" s="32">
        <v>11600</v>
      </c>
      <c r="AL7" s="1"/>
      <c r="AM7" s="64" t="str">
        <f t="shared" ref="AM7:AM9" si="50">AM6</f>
        <v>19mm Dowel</v>
      </c>
      <c r="AN7" s="28">
        <v>90</v>
      </c>
      <c r="AO7" s="54">
        <f t="shared" si="44"/>
        <v>142.85714285714286</v>
      </c>
      <c r="AP7" s="54">
        <f t="shared" si="45"/>
        <v>5987.7834041085671</v>
      </c>
      <c r="AQ7" s="1"/>
      <c r="AR7" s="28">
        <f t="shared" si="46"/>
        <v>180</v>
      </c>
      <c r="AS7" s="32">
        <f t="shared" si="47"/>
        <v>180</v>
      </c>
      <c r="AT7" s="54">
        <f t="shared" ref="AT7:AT10" si="51">AT6</f>
        <v>500</v>
      </c>
      <c r="AU7" s="1"/>
      <c r="AV7" s="78">
        <f t="shared" si="4"/>
        <v>4.4999999999999998E-2</v>
      </c>
      <c r="AW7" s="81">
        <f t="shared" si="5"/>
        <v>4.4999999999999998E-2</v>
      </c>
      <c r="AX7" s="84">
        <f t="shared" si="6"/>
        <v>17.004827480878809</v>
      </c>
      <c r="AY7" s="87">
        <f t="shared" si="7"/>
        <v>18.181818181818183</v>
      </c>
      <c r="AZ7" s="90">
        <f t="shared" si="8"/>
        <v>0.53</v>
      </c>
      <c r="BA7" s="32">
        <v>1.21</v>
      </c>
      <c r="BB7" s="32">
        <v>80</v>
      </c>
      <c r="BC7" s="54">
        <f t="shared" si="9"/>
        <v>29591.596890108212</v>
      </c>
      <c r="BD7" s="87">
        <f t="shared" si="10"/>
        <v>76.1646765919496</v>
      </c>
      <c r="BE7" s="87">
        <f t="shared" si="11"/>
        <v>76.1646765919496</v>
      </c>
      <c r="BF7" s="57">
        <f t="shared" si="12"/>
        <v>292.32935318389923</v>
      </c>
      <c r="BG7" s="4"/>
      <c r="BH7" s="8">
        <f t="shared" si="13"/>
        <v>2</v>
      </c>
      <c r="BI7" s="8">
        <f t="shared" si="14"/>
        <v>1</v>
      </c>
      <c r="BJ7" s="13">
        <f t="shared" si="15"/>
        <v>16977666.666666668</v>
      </c>
      <c r="BK7" s="12">
        <f t="shared" si="16"/>
        <v>60</v>
      </c>
      <c r="BL7" s="12">
        <f t="shared" si="48"/>
        <v>30</v>
      </c>
      <c r="BM7" s="12">
        <f t="shared" si="18"/>
        <v>10</v>
      </c>
      <c r="BN7" s="12">
        <f t="shared" si="19"/>
        <v>30</v>
      </c>
      <c r="BO7" s="12">
        <f t="shared" si="20"/>
        <v>50</v>
      </c>
      <c r="BP7" s="12">
        <f t="shared" si="21"/>
        <v>0</v>
      </c>
      <c r="BQ7" s="12">
        <f t="shared" si="22"/>
        <v>0</v>
      </c>
      <c r="BR7" s="92">
        <f t="shared" si="23"/>
        <v>201280000</v>
      </c>
      <c r="BS7" s="95">
        <f t="shared" si="49"/>
        <v>218257666.66666666</v>
      </c>
      <c r="BT7" s="98">
        <f t="shared" si="25"/>
        <v>554325333333.33325</v>
      </c>
      <c r="BU7" s="95">
        <f t="shared" si="26"/>
        <v>503200</v>
      </c>
      <c r="BV7" s="98">
        <f t="shared" si="27"/>
        <v>259840000</v>
      </c>
      <c r="BW7" s="5"/>
      <c r="BX7" s="95">
        <f t="shared" si="28"/>
        <v>16632916640.843679</v>
      </c>
      <c r="BY7" s="98">
        <f t="shared" si="29"/>
        <v>38347718.920935377</v>
      </c>
      <c r="BZ7" s="90">
        <f t="shared" si="30"/>
        <v>0.63923960678913017</v>
      </c>
      <c r="CA7" s="87">
        <f t="shared" si="31"/>
        <v>9.4828198519150764</v>
      </c>
      <c r="CB7" s="87">
        <f t="shared" si="32"/>
        <v>100.51718014808492</v>
      </c>
      <c r="CC7" s="43">
        <f t="shared" si="33"/>
        <v>842.00000010955432</v>
      </c>
      <c r="CD7" s="11">
        <f t="shared" si="34"/>
        <v>-1.0955432117043529E-7</v>
      </c>
      <c r="CE7" s="1"/>
      <c r="CF7" s="95">
        <f t="shared" si="35"/>
        <v>63803122524.09375</v>
      </c>
      <c r="CG7" s="98">
        <f t="shared" si="36"/>
        <v>147100130.52213809</v>
      </c>
      <c r="CH7" s="105">
        <f t="shared" si="37"/>
        <v>0.31597029888394934</v>
      </c>
      <c r="CI7" s="87">
        <f t="shared" si="38"/>
        <v>18.799754471375739</v>
      </c>
      <c r="CJ7" s="87">
        <f t="shared" si="39"/>
        <v>91.200245528624265</v>
      </c>
      <c r="CK7" s="98">
        <f t="shared" si="40"/>
        <v>1096554546037.417</v>
      </c>
      <c r="CL7" s="62"/>
    </row>
    <row r="8" spans="1:90" ht="34.9" customHeight="1">
      <c r="A8" s="20"/>
      <c r="B8" s="200"/>
      <c r="C8" s="201"/>
      <c r="D8" s="32" t="s">
        <v>180</v>
      </c>
      <c r="E8" s="32" t="s">
        <v>177</v>
      </c>
      <c r="F8" s="32">
        <v>2010</v>
      </c>
      <c r="G8" s="1"/>
      <c r="H8" s="37" t="s">
        <v>149</v>
      </c>
      <c r="I8" s="32" t="str">
        <f t="shared" si="41"/>
        <v>Discrete</v>
      </c>
      <c r="J8" s="32" t="s">
        <v>70</v>
      </c>
      <c r="K8" s="32" t="s">
        <v>72</v>
      </c>
      <c r="L8" s="38" t="s">
        <v>65</v>
      </c>
      <c r="M8" s="32" t="s">
        <v>264</v>
      </c>
      <c r="N8" s="38" t="s">
        <v>267</v>
      </c>
      <c r="O8" s="38" t="s">
        <v>269</v>
      </c>
      <c r="P8" s="2"/>
      <c r="Q8" s="50">
        <v>730</v>
      </c>
      <c r="R8" s="54">
        <f t="shared" si="0"/>
        <v>1097.1830382303792</v>
      </c>
      <c r="S8" s="57">
        <v>37.051585567257895</v>
      </c>
      <c r="T8" s="54">
        <f t="shared" si="1"/>
        <v>292.32935318389923</v>
      </c>
      <c r="U8" s="3" t="s">
        <v>75</v>
      </c>
      <c r="V8" s="28" t="s">
        <v>181</v>
      </c>
      <c r="W8" s="28">
        <v>3</v>
      </c>
      <c r="X8" s="28" t="s">
        <v>14</v>
      </c>
      <c r="Y8" s="32">
        <v>20</v>
      </c>
      <c r="Z8" s="32">
        <f t="shared" si="42"/>
        <v>12580</v>
      </c>
      <c r="AA8" s="54">
        <f t="shared" si="2"/>
        <v>786.25</v>
      </c>
      <c r="AB8" s="32">
        <v>20</v>
      </c>
      <c r="AC8" s="54">
        <f t="shared" si="43"/>
        <v>306.5</v>
      </c>
      <c r="AD8" s="32">
        <f t="shared" si="3"/>
        <v>20</v>
      </c>
      <c r="AE8" s="32">
        <v>4000</v>
      </c>
      <c r="AF8" s="1"/>
      <c r="AG8" s="28" t="s">
        <v>26</v>
      </c>
      <c r="AH8" s="32" t="s">
        <v>182</v>
      </c>
      <c r="AI8" s="32">
        <v>160</v>
      </c>
      <c r="AJ8" s="32">
        <v>140</v>
      </c>
      <c r="AK8" s="32">
        <v>11600</v>
      </c>
      <c r="AL8" s="1"/>
      <c r="AM8" s="64" t="str">
        <f t="shared" si="50"/>
        <v>19mm Dowel</v>
      </c>
      <c r="AN8" s="28">
        <v>90</v>
      </c>
      <c r="AO8" s="54">
        <f t="shared" si="44"/>
        <v>142.85714285714286</v>
      </c>
      <c r="AP8" s="54">
        <f t="shared" si="45"/>
        <v>5987.7834041085671</v>
      </c>
      <c r="AQ8" s="1"/>
      <c r="AR8" s="28">
        <f t="shared" si="46"/>
        <v>180</v>
      </c>
      <c r="AS8" s="32">
        <f t="shared" si="47"/>
        <v>180</v>
      </c>
      <c r="AT8" s="54">
        <f t="shared" si="51"/>
        <v>500</v>
      </c>
      <c r="AU8" s="1"/>
      <c r="AV8" s="78">
        <f t="shared" si="4"/>
        <v>4.4999999999999998E-2</v>
      </c>
      <c r="AW8" s="81">
        <f t="shared" si="5"/>
        <v>4.4999999999999998E-2</v>
      </c>
      <c r="AX8" s="84">
        <f t="shared" si="6"/>
        <v>17.004827480878809</v>
      </c>
      <c r="AY8" s="87">
        <f t="shared" si="7"/>
        <v>18.181818181818183</v>
      </c>
      <c r="AZ8" s="90">
        <f t="shared" si="8"/>
        <v>0.53</v>
      </c>
      <c r="BA8" s="32">
        <v>1.21</v>
      </c>
      <c r="BB8" s="32">
        <v>80</v>
      </c>
      <c r="BC8" s="54">
        <f t="shared" si="9"/>
        <v>29591.596890108212</v>
      </c>
      <c r="BD8" s="87">
        <f t="shared" si="10"/>
        <v>76.1646765919496</v>
      </c>
      <c r="BE8" s="87">
        <f t="shared" si="11"/>
        <v>76.1646765919496</v>
      </c>
      <c r="BF8" s="57">
        <f t="shared" si="12"/>
        <v>292.32935318389923</v>
      </c>
      <c r="BG8" s="4"/>
      <c r="BH8" s="8">
        <f t="shared" si="13"/>
        <v>2</v>
      </c>
      <c r="BI8" s="8">
        <f t="shared" si="14"/>
        <v>1</v>
      </c>
      <c r="BJ8" s="13">
        <f t="shared" si="15"/>
        <v>16977666.666666668</v>
      </c>
      <c r="BK8" s="12">
        <f t="shared" si="16"/>
        <v>60</v>
      </c>
      <c r="BL8" s="12">
        <f t="shared" si="48"/>
        <v>30</v>
      </c>
      <c r="BM8" s="12">
        <f t="shared" si="18"/>
        <v>10</v>
      </c>
      <c r="BN8" s="12">
        <f t="shared" si="19"/>
        <v>30</v>
      </c>
      <c r="BO8" s="12">
        <f t="shared" si="20"/>
        <v>50</v>
      </c>
      <c r="BP8" s="12">
        <f t="shared" si="21"/>
        <v>0</v>
      </c>
      <c r="BQ8" s="12">
        <f t="shared" si="22"/>
        <v>0</v>
      </c>
      <c r="BR8" s="92">
        <f t="shared" si="23"/>
        <v>201280000</v>
      </c>
      <c r="BS8" s="95">
        <f t="shared" si="49"/>
        <v>218257666.66666666</v>
      </c>
      <c r="BT8" s="98">
        <f t="shared" si="25"/>
        <v>554325333333.33325</v>
      </c>
      <c r="BU8" s="95">
        <f t="shared" si="26"/>
        <v>503200</v>
      </c>
      <c r="BV8" s="98">
        <f t="shared" si="27"/>
        <v>259840000</v>
      </c>
      <c r="BW8" s="5"/>
      <c r="BX8" s="95">
        <f t="shared" si="28"/>
        <v>8086792612.2100506</v>
      </c>
      <c r="BY8" s="98">
        <f t="shared" si="29"/>
        <v>18644357.857444175</v>
      </c>
      <c r="BZ8" s="90">
        <f t="shared" si="30"/>
        <v>0.78469117185520176</v>
      </c>
      <c r="CA8" s="87">
        <f t="shared" si="31"/>
        <v>5.8633240872950196</v>
      </c>
      <c r="CB8" s="87">
        <f t="shared" si="32"/>
        <v>104.13667591270499</v>
      </c>
      <c r="CC8" s="43">
        <f t="shared" si="33"/>
        <v>730.0000003382446</v>
      </c>
      <c r="CD8" s="11">
        <f t="shared" si="34"/>
        <v>-3.3824460388132138E-7</v>
      </c>
      <c r="CE8" s="1"/>
      <c r="CF8" s="95">
        <f t="shared" si="35"/>
        <v>63803122524.09375</v>
      </c>
      <c r="CG8" s="98">
        <f t="shared" si="36"/>
        <v>147100130.52213809</v>
      </c>
      <c r="CH8" s="105">
        <f t="shared" si="37"/>
        <v>0.31597029888394934</v>
      </c>
      <c r="CI8" s="87">
        <f t="shared" si="38"/>
        <v>19.240204283217999</v>
      </c>
      <c r="CJ8" s="87">
        <f t="shared" si="39"/>
        <v>90.759795716782008</v>
      </c>
      <c r="CK8" s="98">
        <f t="shared" si="40"/>
        <v>1097183038230.3792</v>
      </c>
      <c r="CL8" s="62"/>
    </row>
    <row r="9" spans="1:90" ht="34.9" customHeight="1">
      <c r="A9" s="20"/>
      <c r="B9" s="200"/>
      <c r="C9" s="201"/>
      <c r="D9" s="32" t="s">
        <v>180</v>
      </c>
      <c r="E9" s="32" t="s">
        <v>178</v>
      </c>
      <c r="F9" s="32">
        <v>2010</v>
      </c>
      <c r="G9" s="1"/>
      <c r="H9" s="37" t="s">
        <v>149</v>
      </c>
      <c r="I9" s="32" t="str">
        <f t="shared" si="41"/>
        <v>Discrete</v>
      </c>
      <c r="J9" s="32" t="s">
        <v>70</v>
      </c>
      <c r="K9" s="32" t="s">
        <v>72</v>
      </c>
      <c r="L9" s="38" t="s">
        <v>65</v>
      </c>
      <c r="M9" s="32" t="s">
        <v>264</v>
      </c>
      <c r="N9" s="38" t="s">
        <v>267</v>
      </c>
      <c r="O9" s="38" t="s">
        <v>269</v>
      </c>
      <c r="P9" s="2"/>
      <c r="Q9" s="50">
        <v>868</v>
      </c>
      <c r="R9" s="54">
        <f t="shared" si="0"/>
        <v>1096.3906916928356</v>
      </c>
      <c r="S9" s="57">
        <v>88.199258726159925</v>
      </c>
      <c r="T9" s="54">
        <f t="shared" si="1"/>
        <v>292.32935318389923</v>
      </c>
      <c r="U9" s="3" t="s">
        <v>75</v>
      </c>
      <c r="V9" s="28" t="s">
        <v>181</v>
      </c>
      <c r="W9" s="28">
        <v>3</v>
      </c>
      <c r="X9" s="28" t="s">
        <v>14</v>
      </c>
      <c r="Y9" s="32">
        <v>20</v>
      </c>
      <c r="Z9" s="32">
        <f t="shared" si="42"/>
        <v>12580</v>
      </c>
      <c r="AA9" s="54">
        <f t="shared" si="2"/>
        <v>786.25</v>
      </c>
      <c r="AB9" s="32">
        <v>20</v>
      </c>
      <c r="AC9" s="54">
        <f t="shared" si="43"/>
        <v>306.5</v>
      </c>
      <c r="AD9" s="32">
        <f t="shared" si="3"/>
        <v>20</v>
      </c>
      <c r="AE9" s="32">
        <v>4000</v>
      </c>
      <c r="AF9" s="1"/>
      <c r="AG9" s="28" t="s">
        <v>26</v>
      </c>
      <c r="AH9" s="32" t="s">
        <v>182</v>
      </c>
      <c r="AI9" s="32">
        <v>160</v>
      </c>
      <c r="AJ9" s="32">
        <v>140</v>
      </c>
      <c r="AK9" s="32">
        <v>11600</v>
      </c>
      <c r="AL9" s="1"/>
      <c r="AM9" s="64" t="str">
        <f t="shared" si="50"/>
        <v>19mm Dowel</v>
      </c>
      <c r="AN9" s="28">
        <v>90</v>
      </c>
      <c r="AO9" s="54">
        <f t="shared" si="44"/>
        <v>142.85714285714286</v>
      </c>
      <c r="AP9" s="54">
        <f t="shared" si="45"/>
        <v>5987.7834041085671</v>
      </c>
      <c r="AQ9" s="1"/>
      <c r="AR9" s="28">
        <f t="shared" si="46"/>
        <v>180</v>
      </c>
      <c r="AS9" s="32">
        <f t="shared" si="47"/>
        <v>180</v>
      </c>
      <c r="AT9" s="54">
        <f t="shared" si="51"/>
        <v>500</v>
      </c>
      <c r="AU9" s="1"/>
      <c r="AV9" s="78">
        <f t="shared" si="4"/>
        <v>4.4999999999999998E-2</v>
      </c>
      <c r="AW9" s="81">
        <f t="shared" si="5"/>
        <v>4.4999999999999998E-2</v>
      </c>
      <c r="AX9" s="84">
        <f t="shared" si="6"/>
        <v>17.004827480878809</v>
      </c>
      <c r="AY9" s="87">
        <f t="shared" si="7"/>
        <v>18.181818181818183</v>
      </c>
      <c r="AZ9" s="90">
        <f t="shared" si="8"/>
        <v>0.53</v>
      </c>
      <c r="BA9" s="32">
        <v>1.21</v>
      </c>
      <c r="BB9" s="32">
        <v>80</v>
      </c>
      <c r="BC9" s="54">
        <f t="shared" si="9"/>
        <v>29591.596890108212</v>
      </c>
      <c r="BD9" s="87">
        <f t="shared" si="10"/>
        <v>76.1646765919496</v>
      </c>
      <c r="BE9" s="87">
        <f t="shared" si="11"/>
        <v>76.1646765919496</v>
      </c>
      <c r="BF9" s="57">
        <f t="shared" si="12"/>
        <v>292.32935318389923</v>
      </c>
      <c r="BG9" s="4"/>
      <c r="BH9" s="8">
        <f t="shared" si="13"/>
        <v>2</v>
      </c>
      <c r="BI9" s="8">
        <f t="shared" si="14"/>
        <v>1</v>
      </c>
      <c r="BJ9" s="13">
        <f t="shared" si="15"/>
        <v>16977666.666666668</v>
      </c>
      <c r="BK9" s="12">
        <f t="shared" si="16"/>
        <v>60</v>
      </c>
      <c r="BL9" s="12">
        <f t="shared" si="48"/>
        <v>30</v>
      </c>
      <c r="BM9" s="12">
        <f t="shared" si="18"/>
        <v>10</v>
      </c>
      <c r="BN9" s="12">
        <f t="shared" si="19"/>
        <v>30</v>
      </c>
      <c r="BO9" s="12">
        <f t="shared" si="20"/>
        <v>50</v>
      </c>
      <c r="BP9" s="12">
        <f t="shared" si="21"/>
        <v>0</v>
      </c>
      <c r="BQ9" s="12">
        <f t="shared" si="22"/>
        <v>0</v>
      </c>
      <c r="BR9" s="92">
        <f t="shared" si="23"/>
        <v>201280000</v>
      </c>
      <c r="BS9" s="95">
        <f t="shared" si="49"/>
        <v>218257666.66666666</v>
      </c>
      <c r="BT9" s="98">
        <f t="shared" si="25"/>
        <v>554325333333.33325</v>
      </c>
      <c r="BU9" s="95">
        <f t="shared" si="26"/>
        <v>503200</v>
      </c>
      <c r="BV9" s="98">
        <f t="shared" si="27"/>
        <v>259840000</v>
      </c>
      <c r="BW9" s="5"/>
      <c r="BX9" s="95">
        <f t="shared" si="28"/>
        <v>19250164411.301304</v>
      </c>
      <c r="BY9" s="98">
        <f t="shared" si="29"/>
        <v>44381866.991003677</v>
      </c>
      <c r="BZ9" s="90">
        <f t="shared" si="30"/>
        <v>0.60490123112245042</v>
      </c>
      <c r="CA9" s="87">
        <f t="shared" si="31"/>
        <v>10.30090204565162</v>
      </c>
      <c r="CB9" s="87">
        <f t="shared" si="32"/>
        <v>99.699097954348375</v>
      </c>
      <c r="CC9" s="43">
        <f t="shared" si="33"/>
        <v>868.0000003742673</v>
      </c>
      <c r="CD9" s="11">
        <f t="shared" si="34"/>
        <v>-3.7426730159495492E-7</v>
      </c>
      <c r="CE9" s="1"/>
      <c r="CF9" s="95">
        <f t="shared" si="35"/>
        <v>63803122524.09375</v>
      </c>
      <c r="CG9" s="98">
        <f t="shared" si="36"/>
        <v>147100130.52213809</v>
      </c>
      <c r="CH9" s="105">
        <f t="shared" si="37"/>
        <v>0.31597029888394934</v>
      </c>
      <c r="CI9" s="87">
        <f t="shared" si="38"/>
        <v>18.668872302802651</v>
      </c>
      <c r="CJ9" s="87">
        <f t="shared" si="39"/>
        <v>91.331127697197346</v>
      </c>
      <c r="CK9" s="98">
        <f t="shared" si="40"/>
        <v>1096390691692.8356</v>
      </c>
      <c r="CL9" s="62"/>
    </row>
    <row r="10" spans="1:90" ht="34.9" customHeight="1">
      <c r="A10" s="20"/>
      <c r="B10" s="200"/>
      <c r="C10" s="201"/>
      <c r="D10" s="36" t="s">
        <v>180</v>
      </c>
      <c r="E10" s="36" t="s">
        <v>179</v>
      </c>
      <c r="F10" s="36">
        <v>2010</v>
      </c>
      <c r="G10" s="1"/>
      <c r="H10" s="114" t="s">
        <v>149</v>
      </c>
      <c r="I10" s="36" t="str">
        <f t="shared" si="41"/>
        <v>Discrete</v>
      </c>
      <c r="J10" s="36" t="s">
        <v>70</v>
      </c>
      <c r="K10" s="36" t="s">
        <v>72</v>
      </c>
      <c r="L10" s="39" t="s">
        <v>65</v>
      </c>
      <c r="M10" s="36" t="s">
        <v>264</v>
      </c>
      <c r="N10" s="39" t="s">
        <v>267</v>
      </c>
      <c r="O10" s="39" t="s">
        <v>269</v>
      </c>
      <c r="P10" s="2"/>
      <c r="Q10" s="51">
        <v>806</v>
      </c>
      <c r="R10" s="55">
        <f t="shared" si="0"/>
        <v>1096.7708427412178</v>
      </c>
      <c r="S10" s="58">
        <v>61.661795907340284</v>
      </c>
      <c r="T10" s="55">
        <f t="shared" si="1"/>
        <v>292.32935318389923</v>
      </c>
      <c r="U10" s="3" t="s">
        <v>75</v>
      </c>
      <c r="V10" s="29" t="s">
        <v>181</v>
      </c>
      <c r="W10" s="29">
        <v>3</v>
      </c>
      <c r="X10" s="29" t="s">
        <v>14</v>
      </c>
      <c r="Y10" s="36">
        <v>20</v>
      </c>
      <c r="Z10" s="36">
        <f t="shared" si="42"/>
        <v>12580</v>
      </c>
      <c r="AA10" s="55">
        <f t="shared" si="2"/>
        <v>786.25</v>
      </c>
      <c r="AB10" s="36">
        <v>20</v>
      </c>
      <c r="AC10" s="55">
        <f t="shared" si="43"/>
        <v>306.5</v>
      </c>
      <c r="AD10" s="36">
        <f t="shared" si="3"/>
        <v>20</v>
      </c>
      <c r="AE10" s="36">
        <v>4000</v>
      </c>
      <c r="AF10" s="1"/>
      <c r="AG10" s="29" t="s">
        <v>26</v>
      </c>
      <c r="AH10" s="36" t="s">
        <v>182</v>
      </c>
      <c r="AI10" s="36">
        <v>160</v>
      </c>
      <c r="AJ10" s="36">
        <v>140</v>
      </c>
      <c r="AK10" s="36">
        <v>11600</v>
      </c>
      <c r="AL10" s="1"/>
      <c r="AM10" s="66" t="str">
        <f>AM9</f>
        <v>19mm Dowel</v>
      </c>
      <c r="AN10" s="29">
        <v>90</v>
      </c>
      <c r="AO10" s="55">
        <f t="shared" si="44"/>
        <v>142.85714285714286</v>
      </c>
      <c r="AP10" s="55">
        <f t="shared" si="45"/>
        <v>5987.7834041085671</v>
      </c>
      <c r="AQ10" s="1"/>
      <c r="AR10" s="29">
        <f t="shared" si="46"/>
        <v>180</v>
      </c>
      <c r="AS10" s="36">
        <f t="shared" si="47"/>
        <v>180</v>
      </c>
      <c r="AT10" s="55">
        <f t="shared" si="51"/>
        <v>500</v>
      </c>
      <c r="AU10" s="1"/>
      <c r="AV10" s="79">
        <f t="shared" si="4"/>
        <v>4.4999999999999998E-2</v>
      </c>
      <c r="AW10" s="82">
        <f t="shared" si="5"/>
        <v>4.4999999999999998E-2</v>
      </c>
      <c r="AX10" s="85">
        <f t="shared" si="6"/>
        <v>17.004827480878809</v>
      </c>
      <c r="AY10" s="88">
        <f t="shared" si="7"/>
        <v>18.181818181818183</v>
      </c>
      <c r="AZ10" s="91">
        <f t="shared" si="8"/>
        <v>0.53</v>
      </c>
      <c r="BA10" s="36">
        <v>1.21</v>
      </c>
      <c r="BB10" s="36">
        <v>80</v>
      </c>
      <c r="BC10" s="55">
        <f t="shared" si="9"/>
        <v>29591.596890108212</v>
      </c>
      <c r="BD10" s="88">
        <f t="shared" si="10"/>
        <v>76.1646765919496</v>
      </c>
      <c r="BE10" s="88">
        <f t="shared" si="11"/>
        <v>76.1646765919496</v>
      </c>
      <c r="BF10" s="58">
        <f t="shared" si="12"/>
        <v>292.32935318389923</v>
      </c>
      <c r="BG10" s="4"/>
      <c r="BH10" s="115">
        <f t="shared" si="13"/>
        <v>2</v>
      </c>
      <c r="BI10" s="115">
        <f t="shared" si="14"/>
        <v>1</v>
      </c>
      <c r="BJ10" s="116">
        <f t="shared" si="15"/>
        <v>16977666.666666668</v>
      </c>
      <c r="BK10" s="117">
        <f t="shared" si="16"/>
        <v>60</v>
      </c>
      <c r="BL10" s="117">
        <f t="shared" si="48"/>
        <v>30</v>
      </c>
      <c r="BM10" s="117">
        <f t="shared" si="18"/>
        <v>10</v>
      </c>
      <c r="BN10" s="117">
        <f t="shared" si="19"/>
        <v>30</v>
      </c>
      <c r="BO10" s="117">
        <f t="shared" si="20"/>
        <v>50</v>
      </c>
      <c r="BP10" s="117">
        <f t="shared" si="21"/>
        <v>0</v>
      </c>
      <c r="BQ10" s="117">
        <f t="shared" si="22"/>
        <v>0</v>
      </c>
      <c r="BR10" s="118">
        <f t="shared" si="23"/>
        <v>201280000</v>
      </c>
      <c r="BS10" s="96">
        <f t="shared" si="49"/>
        <v>218257666.66666666</v>
      </c>
      <c r="BT10" s="99">
        <f t="shared" si="25"/>
        <v>554325333333.33325</v>
      </c>
      <c r="BU10" s="96">
        <f t="shared" si="26"/>
        <v>503200</v>
      </c>
      <c r="BV10" s="99">
        <f t="shared" si="27"/>
        <v>259840000</v>
      </c>
      <c r="BW10" s="5"/>
      <c r="BX10" s="96">
        <f t="shared" si="28"/>
        <v>13458159697.212307</v>
      </c>
      <c r="BY10" s="99">
        <f t="shared" si="29"/>
        <v>31028215.700573631</v>
      </c>
      <c r="BZ10" s="91">
        <f t="shared" si="30"/>
        <v>0.68651217136026577</v>
      </c>
      <c r="CA10" s="88">
        <f t="shared" si="31"/>
        <v>8.3343773623732105</v>
      </c>
      <c r="CB10" s="88">
        <f t="shared" si="32"/>
        <v>101.6656226376268</v>
      </c>
      <c r="CC10" s="119">
        <f t="shared" si="33"/>
        <v>806.00000055284158</v>
      </c>
      <c r="CD10" s="120">
        <f t="shared" si="34"/>
        <v>-5.5284158406720962E-7</v>
      </c>
      <c r="CE10" s="1"/>
      <c r="CF10" s="96">
        <f t="shared" si="35"/>
        <v>63803122524.09375</v>
      </c>
      <c r="CG10" s="99">
        <f t="shared" si="36"/>
        <v>147100130.52213809</v>
      </c>
      <c r="CH10" s="106">
        <f t="shared" si="37"/>
        <v>0.31597029888394934</v>
      </c>
      <c r="CI10" s="88">
        <f t="shared" si="38"/>
        <v>18.961000598444858</v>
      </c>
      <c r="CJ10" s="88">
        <f t="shared" si="39"/>
        <v>91.038999401555145</v>
      </c>
      <c r="CK10" s="99">
        <f t="shared" si="40"/>
        <v>1096770842741.2178</v>
      </c>
      <c r="CL10" s="62"/>
    </row>
    <row r="11" spans="1:90" ht="34.9" customHeight="1">
      <c r="A11" s="20"/>
      <c r="B11" s="200" t="s">
        <v>279</v>
      </c>
      <c r="C11" s="202" t="s">
        <v>297</v>
      </c>
      <c r="D11" s="31" t="s">
        <v>56</v>
      </c>
      <c r="E11" s="107" t="s">
        <v>54</v>
      </c>
      <c r="F11" s="108">
        <v>2014</v>
      </c>
      <c r="G11" s="1"/>
      <c r="H11" s="109" t="s">
        <v>149</v>
      </c>
      <c r="I11" s="31" t="str">
        <f t="shared" si="41"/>
        <v>Discrete</v>
      </c>
      <c r="J11" s="31" t="s">
        <v>70</v>
      </c>
      <c r="K11" s="31" t="s">
        <v>72</v>
      </c>
      <c r="L11" s="110" t="s">
        <v>65</v>
      </c>
      <c r="M11" s="110" t="s">
        <v>265</v>
      </c>
      <c r="N11" s="110" t="s">
        <v>267</v>
      </c>
      <c r="O11" s="110" t="s">
        <v>270</v>
      </c>
      <c r="P11" s="2"/>
      <c r="Q11" s="49">
        <f>((105000/15)*(1/48)*(3*(AE11^2)*1140-4*1140^3))/1000^3</f>
        <v>4901.3159999999989</v>
      </c>
      <c r="R11" s="53">
        <f>CK11/1000^3</f>
        <v>5243.7460315442404</v>
      </c>
      <c r="S11" s="53">
        <v>5.3033847676781996</v>
      </c>
      <c r="T11" s="53">
        <f t="shared" si="1"/>
        <v>313.71617090808581</v>
      </c>
      <c r="U11" s="3" t="s">
        <v>75</v>
      </c>
      <c r="V11" s="27" t="s">
        <v>4</v>
      </c>
      <c r="W11" s="27">
        <f t="shared" ref="W11:W19" si="52">IF(J11="3-Ply", 3,5)</f>
        <v>3</v>
      </c>
      <c r="X11" s="27" t="s">
        <v>14</v>
      </c>
      <c r="Y11" s="53">
        <f>78/3</f>
        <v>26</v>
      </c>
      <c r="Z11" s="31">
        <v>11700</v>
      </c>
      <c r="AA11" s="53">
        <f t="shared" ref="AA11" si="53">Z11/16</f>
        <v>731.25</v>
      </c>
      <c r="AB11" s="53">
        <f>Y11</f>
        <v>26</v>
      </c>
      <c r="AC11" s="53">
        <f>9000/30</f>
        <v>300</v>
      </c>
      <c r="AD11" s="31">
        <f t="shared" ref="AD11" si="54">MAX(Y11,AB11)</f>
        <v>26</v>
      </c>
      <c r="AE11" s="31">
        <v>3400</v>
      </c>
      <c r="AF11" s="1"/>
      <c r="AG11" s="27" t="s">
        <v>72</v>
      </c>
      <c r="AH11" s="31" t="s">
        <v>4</v>
      </c>
      <c r="AI11" s="31">
        <v>318</v>
      </c>
      <c r="AJ11" s="31">
        <v>137</v>
      </c>
      <c r="AK11" s="31">
        <v>13100</v>
      </c>
      <c r="AL11" s="1"/>
      <c r="AM11" s="111" t="s">
        <v>236</v>
      </c>
      <c r="AN11" s="27">
        <v>90</v>
      </c>
      <c r="AO11" s="53">
        <f>1800/11</f>
        <v>163.63636363636363</v>
      </c>
      <c r="AP11" s="112">
        <f>60*(0.7*25.4*(5/16))^1.7</f>
        <v>1107.3381781410937</v>
      </c>
      <c r="AQ11" s="1"/>
      <c r="AR11" s="49">
        <f>600/2-(AJ11/2)</f>
        <v>231.5</v>
      </c>
      <c r="AS11" s="53">
        <f>AR11</f>
        <v>231.5</v>
      </c>
      <c r="AT11" s="53">
        <f t="shared" ref="AT11:AT50" si="55">AR11+AJ11+AS11</f>
        <v>600</v>
      </c>
      <c r="AU11" s="1"/>
      <c r="AV11" s="77">
        <f t="shared" si="4"/>
        <v>6.8088235294117644E-2</v>
      </c>
      <c r="AW11" s="80">
        <f t="shared" si="5"/>
        <v>6.8088235294117644E-2</v>
      </c>
      <c r="AX11" s="83">
        <f t="shared" si="6"/>
        <v>19.372988366659719</v>
      </c>
      <c r="AY11" s="86">
        <f t="shared" si="7"/>
        <v>8.5858585858585865</v>
      </c>
      <c r="AZ11" s="89">
        <f t="shared" si="8"/>
        <v>0.53</v>
      </c>
      <c r="BA11" s="31">
        <v>1.21</v>
      </c>
      <c r="BB11" s="31">
        <v>80</v>
      </c>
      <c r="BC11" s="53">
        <f t="shared" si="9"/>
        <v>31404.550938926724</v>
      </c>
      <c r="BD11" s="86">
        <f t="shared" si="10"/>
        <v>88.358085454042907</v>
      </c>
      <c r="BE11" s="86">
        <f t="shared" si="11"/>
        <v>88.358085454042907</v>
      </c>
      <c r="BF11" s="56">
        <f t="shared" si="12"/>
        <v>313.71617090808581</v>
      </c>
      <c r="BG11" s="4"/>
      <c r="BH11" s="23">
        <f t="shared" si="13"/>
        <v>2</v>
      </c>
      <c r="BI11" s="23">
        <f t="shared" si="14"/>
        <v>1</v>
      </c>
      <c r="BJ11" s="30">
        <f t="shared" si="15"/>
        <v>34712600</v>
      </c>
      <c r="BK11" s="75">
        <f t="shared" si="16"/>
        <v>78</v>
      </c>
      <c r="BL11" s="75">
        <f t="shared" si="48"/>
        <v>39</v>
      </c>
      <c r="BM11" s="75">
        <f t="shared" si="18"/>
        <v>13</v>
      </c>
      <c r="BN11" s="75">
        <f t="shared" si="19"/>
        <v>39</v>
      </c>
      <c r="BO11" s="75">
        <f t="shared" si="20"/>
        <v>65</v>
      </c>
      <c r="BP11" s="75">
        <f t="shared" si="21"/>
        <v>0</v>
      </c>
      <c r="BQ11" s="75">
        <f t="shared" si="22"/>
        <v>0</v>
      </c>
      <c r="BR11" s="113">
        <f t="shared" si="23"/>
        <v>411278400</v>
      </c>
      <c r="BS11" s="94">
        <f t="shared" si="49"/>
        <v>445991000</v>
      </c>
      <c r="BT11" s="97">
        <f t="shared" si="25"/>
        <v>4809411934200</v>
      </c>
      <c r="BU11" s="94">
        <f t="shared" si="26"/>
        <v>608400</v>
      </c>
      <c r="BV11" s="97">
        <f t="shared" si="27"/>
        <v>570714600</v>
      </c>
      <c r="BW11" s="5"/>
      <c r="BX11" s="94">
        <f t="shared" si="28"/>
        <v>2365261875.9215679</v>
      </c>
      <c r="BY11" s="97">
        <f t="shared" si="29"/>
        <v>3226579.2926554168</v>
      </c>
      <c r="BZ11" s="89">
        <f t="shared" si="30"/>
        <v>0.71068973519644274</v>
      </c>
      <c r="CA11" s="86">
        <f t="shared" si="31"/>
        <v>0.79236834967544956</v>
      </c>
      <c r="CB11" s="86">
        <f t="shared" si="32"/>
        <v>197.20763165032454</v>
      </c>
      <c r="CC11" s="46">
        <f t="shared" si="33"/>
        <v>4901.3160008519835</v>
      </c>
      <c r="CD11" s="76">
        <f t="shared" si="34"/>
        <v>-8.5198462329572067E-7</v>
      </c>
      <c r="CE11" s="1"/>
      <c r="CF11" s="94">
        <f t="shared" si="35"/>
        <v>139914588779.46811</v>
      </c>
      <c r="CG11" s="97">
        <f t="shared" si="36"/>
        <v>190864918.3804794</v>
      </c>
      <c r="CH11" s="104">
        <f t="shared" si="37"/>
        <v>3.9871431079170322E-2</v>
      </c>
      <c r="CI11" s="86">
        <f t="shared" si="38"/>
        <v>2.639588673858055</v>
      </c>
      <c r="CJ11" s="86">
        <f t="shared" si="39"/>
        <v>195.36041132614196</v>
      </c>
      <c r="CK11" s="97">
        <f t="shared" si="40"/>
        <v>5243746031544.2402</v>
      </c>
      <c r="CL11" s="93"/>
    </row>
    <row r="12" spans="1:90" ht="34.9" customHeight="1">
      <c r="A12" s="20"/>
      <c r="B12" s="200"/>
      <c r="C12" s="203"/>
      <c r="D12" s="32" t="s">
        <v>56</v>
      </c>
      <c r="E12" s="33" t="s">
        <v>28</v>
      </c>
      <c r="F12" s="35">
        <v>2014</v>
      </c>
      <c r="G12" s="1"/>
      <c r="H12" s="37" t="s">
        <v>149</v>
      </c>
      <c r="I12" s="32" t="str">
        <f t="shared" si="41"/>
        <v>Discrete</v>
      </c>
      <c r="J12" s="32" t="s">
        <v>70</v>
      </c>
      <c r="K12" s="32" t="s">
        <v>72</v>
      </c>
      <c r="L12" s="38" t="s">
        <v>65</v>
      </c>
      <c r="M12" s="38" t="s">
        <v>265</v>
      </c>
      <c r="N12" s="38" t="s">
        <v>267</v>
      </c>
      <c r="O12" s="38" t="s">
        <v>270</v>
      </c>
      <c r="P12" s="2"/>
      <c r="Q12" s="50">
        <f>((105000/15)*(1/48)*(3*(AE12^2)*1140-4*1140^3))/1000^3</f>
        <v>4901.3159999999989</v>
      </c>
      <c r="R12" s="54">
        <f>CK12/1000^3</f>
        <v>5343.2871277588047</v>
      </c>
      <c r="S12" s="54">
        <v>4.7993655934365744</v>
      </c>
      <c r="T12" s="54">
        <f t="shared" si="1"/>
        <v>313.71617090808581</v>
      </c>
      <c r="U12" s="3" t="s">
        <v>75</v>
      </c>
      <c r="V12" s="28" t="s">
        <v>4</v>
      </c>
      <c r="W12" s="28">
        <f t="shared" si="52"/>
        <v>3</v>
      </c>
      <c r="X12" s="28" t="s">
        <v>14</v>
      </c>
      <c r="Y12" s="54">
        <f t="shared" ref="Y12:Y14" si="56">78/3</f>
        <v>26</v>
      </c>
      <c r="Z12" s="32">
        <v>11700</v>
      </c>
      <c r="AA12" s="54">
        <f>Z12/16</f>
        <v>731.25</v>
      </c>
      <c r="AB12" s="54">
        <f>Y12</f>
        <v>26</v>
      </c>
      <c r="AC12" s="54">
        <f>AC11</f>
        <v>300</v>
      </c>
      <c r="AD12" s="32">
        <f>MAX(Y12,AB12)</f>
        <v>26</v>
      </c>
      <c r="AE12" s="32">
        <v>3400</v>
      </c>
      <c r="AF12" s="1"/>
      <c r="AG12" s="28" t="s">
        <v>72</v>
      </c>
      <c r="AH12" s="32" t="s">
        <v>4</v>
      </c>
      <c r="AI12" s="32">
        <v>318</v>
      </c>
      <c r="AJ12" s="32">
        <v>137</v>
      </c>
      <c r="AK12" s="32">
        <v>13100</v>
      </c>
      <c r="AL12" s="1"/>
      <c r="AM12" s="65" t="s">
        <v>236</v>
      </c>
      <c r="AN12" s="28">
        <v>90</v>
      </c>
      <c r="AO12" s="54">
        <f>1800/15</f>
        <v>120</v>
      </c>
      <c r="AP12" s="67">
        <f t="shared" ref="AP12" si="57">60*(0.7*25.4*(5/16))^1.7</f>
        <v>1107.3381781410937</v>
      </c>
      <c r="AQ12" s="1"/>
      <c r="AR12" s="50">
        <f>600/2-(AJ12/2)</f>
        <v>231.5</v>
      </c>
      <c r="AS12" s="54">
        <f>AR12</f>
        <v>231.5</v>
      </c>
      <c r="AT12" s="54">
        <f t="shared" si="55"/>
        <v>600</v>
      </c>
      <c r="AU12" s="1"/>
      <c r="AV12" s="78">
        <f t="shared" si="4"/>
        <v>6.8088235294117644E-2</v>
      </c>
      <c r="AW12" s="81">
        <f t="shared" si="5"/>
        <v>6.8088235294117644E-2</v>
      </c>
      <c r="AX12" s="84">
        <f t="shared" si="6"/>
        <v>19.372988366659719</v>
      </c>
      <c r="AY12" s="87">
        <f t="shared" si="7"/>
        <v>8.5858585858585865</v>
      </c>
      <c r="AZ12" s="90">
        <f t="shared" si="8"/>
        <v>0.53</v>
      </c>
      <c r="BA12" s="32">
        <v>1.21</v>
      </c>
      <c r="BB12" s="32">
        <v>80</v>
      </c>
      <c r="BC12" s="54">
        <f t="shared" si="9"/>
        <v>31404.550938926724</v>
      </c>
      <c r="BD12" s="87">
        <f t="shared" si="10"/>
        <v>88.358085454042907</v>
      </c>
      <c r="BE12" s="87">
        <f t="shared" si="11"/>
        <v>88.358085454042907</v>
      </c>
      <c r="BF12" s="57">
        <f t="shared" si="12"/>
        <v>313.71617090808581</v>
      </c>
      <c r="BG12" s="4"/>
      <c r="BH12" s="8">
        <f t="shared" si="13"/>
        <v>2</v>
      </c>
      <c r="BI12" s="8">
        <f t="shared" si="14"/>
        <v>1</v>
      </c>
      <c r="BJ12" s="13">
        <f t="shared" si="15"/>
        <v>34712600</v>
      </c>
      <c r="BK12" s="12">
        <f t="shared" si="16"/>
        <v>78</v>
      </c>
      <c r="BL12" s="12">
        <f t="shared" si="48"/>
        <v>39</v>
      </c>
      <c r="BM12" s="12">
        <f t="shared" si="18"/>
        <v>13</v>
      </c>
      <c r="BN12" s="12">
        <f t="shared" si="19"/>
        <v>39</v>
      </c>
      <c r="BO12" s="12">
        <f t="shared" si="20"/>
        <v>65</v>
      </c>
      <c r="BP12" s="12">
        <f t="shared" si="21"/>
        <v>0</v>
      </c>
      <c r="BQ12" s="12">
        <f t="shared" si="22"/>
        <v>0</v>
      </c>
      <c r="BR12" s="92">
        <f t="shared" si="23"/>
        <v>411278400</v>
      </c>
      <c r="BS12" s="95">
        <f t="shared" si="49"/>
        <v>445991000</v>
      </c>
      <c r="BT12" s="98">
        <f t="shared" si="25"/>
        <v>4809411934200</v>
      </c>
      <c r="BU12" s="95">
        <f t="shared" si="26"/>
        <v>608400</v>
      </c>
      <c r="BV12" s="98">
        <f t="shared" si="27"/>
        <v>570714600</v>
      </c>
      <c r="BW12" s="5"/>
      <c r="BX12" s="95">
        <f t="shared" si="28"/>
        <v>2140473860.3823712</v>
      </c>
      <c r="BY12" s="98">
        <f t="shared" si="29"/>
        <v>2919934.0270468118</v>
      </c>
      <c r="BZ12" s="90">
        <f t="shared" si="30"/>
        <v>0.78730436309223162</v>
      </c>
      <c r="CA12" s="87">
        <f t="shared" si="31"/>
        <v>0.79435759317670318</v>
      </c>
      <c r="CB12" s="87">
        <f t="shared" si="32"/>
        <v>197.2056424068233</v>
      </c>
      <c r="CC12" s="43">
        <f t="shared" si="33"/>
        <v>4901.3160003176508</v>
      </c>
      <c r="CD12" s="11">
        <f t="shared" si="34"/>
        <v>-3.1765193853061646E-7</v>
      </c>
      <c r="CE12" s="1"/>
      <c r="CF12" s="95">
        <f t="shared" si="35"/>
        <v>139914588779.46811</v>
      </c>
      <c r="CG12" s="98">
        <f t="shared" si="36"/>
        <v>190864918.3804794</v>
      </c>
      <c r="CH12" s="105">
        <f t="shared" si="37"/>
        <v>5.3593102850998622E-2</v>
      </c>
      <c r="CI12" s="87">
        <f t="shared" si="38"/>
        <v>3.5478247108705281</v>
      </c>
      <c r="CJ12" s="87">
        <f t="shared" si="39"/>
        <v>194.45217528912949</v>
      </c>
      <c r="CK12" s="98">
        <f t="shared" si="40"/>
        <v>5343287127758.8047</v>
      </c>
      <c r="CL12" s="93"/>
    </row>
    <row r="13" spans="1:90" ht="34.9" customHeight="1">
      <c r="A13" s="20"/>
      <c r="B13" s="200"/>
      <c r="C13" s="203"/>
      <c r="D13" s="32" t="s">
        <v>56</v>
      </c>
      <c r="E13" s="33" t="s">
        <v>29</v>
      </c>
      <c r="F13" s="35">
        <v>2014</v>
      </c>
      <c r="G13" s="1"/>
      <c r="H13" s="37" t="s">
        <v>149</v>
      </c>
      <c r="I13" s="32" t="str">
        <f t="shared" si="41"/>
        <v>Discrete</v>
      </c>
      <c r="J13" s="32" t="s">
        <v>70</v>
      </c>
      <c r="K13" s="32" t="s">
        <v>72</v>
      </c>
      <c r="L13" s="38" t="s">
        <v>65</v>
      </c>
      <c r="M13" s="38" t="s">
        <v>265</v>
      </c>
      <c r="N13" s="38" t="s">
        <v>267</v>
      </c>
      <c r="O13" s="38" t="s">
        <v>270</v>
      </c>
      <c r="P13" s="2"/>
      <c r="Q13" s="50">
        <f>((111077/15)*(1/48)*(3*(AE13^2)*1140-4*1140^3))/1000^3</f>
        <v>5184.9854984000003</v>
      </c>
      <c r="R13" s="54">
        <f t="shared" ref="R13:R81" si="58">CK13/1000^3</f>
        <v>5343.2099066881492</v>
      </c>
      <c r="S13" s="54">
        <v>78.778741161829615</v>
      </c>
      <c r="T13" s="54">
        <f t="shared" si="1"/>
        <v>313.71617090808581</v>
      </c>
      <c r="U13" s="3" t="s">
        <v>75</v>
      </c>
      <c r="V13" s="28" t="s">
        <v>4</v>
      </c>
      <c r="W13" s="28">
        <f t="shared" si="52"/>
        <v>3</v>
      </c>
      <c r="X13" s="28" t="s">
        <v>14</v>
      </c>
      <c r="Y13" s="54">
        <f t="shared" si="56"/>
        <v>26</v>
      </c>
      <c r="Z13" s="32">
        <v>11700</v>
      </c>
      <c r="AA13" s="54">
        <f t="shared" ref="AA13:AA14" si="59">Z13/16</f>
        <v>731.25</v>
      </c>
      <c r="AB13" s="54">
        <f t="shared" ref="AB13:AB14" si="60">Y13</f>
        <v>26</v>
      </c>
      <c r="AC13" s="54">
        <f>AC12</f>
        <v>300</v>
      </c>
      <c r="AD13" s="32">
        <f t="shared" ref="AD13:AD18" si="61">MAX(Y13,AB13)</f>
        <v>26</v>
      </c>
      <c r="AE13" s="32">
        <v>3400</v>
      </c>
      <c r="AF13" s="1"/>
      <c r="AG13" s="28" t="s">
        <v>72</v>
      </c>
      <c r="AH13" s="32" t="s">
        <v>4</v>
      </c>
      <c r="AI13" s="32">
        <v>318</v>
      </c>
      <c r="AJ13" s="32">
        <v>137</v>
      </c>
      <c r="AK13" s="32">
        <v>13100</v>
      </c>
      <c r="AL13" s="1"/>
      <c r="AM13" s="65" t="s">
        <v>237</v>
      </c>
      <c r="AN13" s="28">
        <v>90</v>
      </c>
      <c r="AO13" s="54">
        <f>1800/11</f>
        <v>163.63636363636363</v>
      </c>
      <c r="AP13" s="67">
        <f>60*(0.7*25.4*(3/8))^1.7</f>
        <v>1509.6921324820373</v>
      </c>
      <c r="AQ13" s="1"/>
      <c r="AR13" s="50">
        <f>600/2-(AJ13/2)</f>
        <v>231.5</v>
      </c>
      <c r="AS13" s="54">
        <f t="shared" ref="AS13:AS15" si="62">AR13</f>
        <v>231.5</v>
      </c>
      <c r="AT13" s="54">
        <f t="shared" si="55"/>
        <v>600</v>
      </c>
      <c r="AU13" s="1"/>
      <c r="AV13" s="78">
        <f t="shared" si="4"/>
        <v>6.8088235294117644E-2</v>
      </c>
      <c r="AW13" s="81">
        <f t="shared" si="5"/>
        <v>6.8088235294117644E-2</v>
      </c>
      <c r="AX13" s="84">
        <f t="shared" si="6"/>
        <v>19.372988366659719</v>
      </c>
      <c r="AY13" s="87">
        <f t="shared" si="7"/>
        <v>8.5858585858585865</v>
      </c>
      <c r="AZ13" s="90">
        <f t="shared" si="8"/>
        <v>0.53</v>
      </c>
      <c r="BA13" s="32">
        <v>1.21</v>
      </c>
      <c r="BB13" s="32">
        <v>80</v>
      </c>
      <c r="BC13" s="54">
        <f t="shared" si="9"/>
        <v>31404.550938926724</v>
      </c>
      <c r="BD13" s="87">
        <f t="shared" si="10"/>
        <v>88.358085454042907</v>
      </c>
      <c r="BE13" s="87">
        <f t="shared" si="11"/>
        <v>88.358085454042907</v>
      </c>
      <c r="BF13" s="57">
        <f t="shared" si="12"/>
        <v>313.71617090808581</v>
      </c>
      <c r="BG13" s="4"/>
      <c r="BH13" s="8">
        <f t="shared" si="13"/>
        <v>2</v>
      </c>
      <c r="BI13" s="8">
        <f t="shared" si="14"/>
        <v>1</v>
      </c>
      <c r="BJ13" s="13">
        <f t="shared" si="15"/>
        <v>34712600</v>
      </c>
      <c r="BK13" s="12">
        <f t="shared" si="16"/>
        <v>78</v>
      </c>
      <c r="BL13" s="12">
        <f t="shared" si="48"/>
        <v>39</v>
      </c>
      <c r="BM13" s="12">
        <f t="shared" si="18"/>
        <v>13</v>
      </c>
      <c r="BN13" s="12">
        <f t="shared" si="19"/>
        <v>39</v>
      </c>
      <c r="BO13" s="12">
        <f t="shared" si="20"/>
        <v>65</v>
      </c>
      <c r="BP13" s="12">
        <f t="shared" si="21"/>
        <v>0</v>
      </c>
      <c r="BQ13" s="12">
        <f t="shared" si="22"/>
        <v>0</v>
      </c>
      <c r="BR13" s="92">
        <f t="shared" si="23"/>
        <v>411278400</v>
      </c>
      <c r="BS13" s="95">
        <f t="shared" si="49"/>
        <v>445991000</v>
      </c>
      <c r="BT13" s="98">
        <f t="shared" si="25"/>
        <v>4809411934200</v>
      </c>
      <c r="BU13" s="95">
        <f t="shared" si="26"/>
        <v>608400</v>
      </c>
      <c r="BV13" s="98">
        <f t="shared" si="27"/>
        <v>570714600</v>
      </c>
      <c r="BW13" s="5"/>
      <c r="BX13" s="95">
        <f t="shared" si="28"/>
        <v>35134609549.505554</v>
      </c>
      <c r="BY13" s="98">
        <f t="shared" si="29"/>
        <v>47928986.122857139</v>
      </c>
      <c r="BZ13" s="90">
        <f t="shared" si="30"/>
        <v>0.18397951844925411</v>
      </c>
      <c r="CA13" s="87">
        <f t="shared" si="31"/>
        <v>3.0126943661282635</v>
      </c>
      <c r="CB13" s="87">
        <f t="shared" si="32"/>
        <v>194.98730563387173</v>
      </c>
      <c r="CC13" s="43">
        <f t="shared" si="33"/>
        <v>5184.9854984467611</v>
      </c>
      <c r="CD13" s="11">
        <f t="shared" si="34"/>
        <v>-4.6760760596953332E-8</v>
      </c>
      <c r="CE13" s="1"/>
      <c r="CF13" s="95">
        <f t="shared" si="35"/>
        <v>139914588779.46811</v>
      </c>
      <c r="CG13" s="98">
        <f t="shared" si="36"/>
        <v>190864918.3804794</v>
      </c>
      <c r="CH13" s="105">
        <f t="shared" si="37"/>
        <v>5.3582539598880853E-2</v>
      </c>
      <c r="CI13" s="87">
        <f t="shared" si="38"/>
        <v>3.5322034917841516</v>
      </c>
      <c r="CJ13" s="87">
        <f t="shared" si="39"/>
        <v>194.46779650821586</v>
      </c>
      <c r="CK13" s="98">
        <f t="shared" si="40"/>
        <v>5343209906688.1494</v>
      </c>
      <c r="CL13" s="93"/>
    </row>
    <row r="14" spans="1:90" ht="34.9" customHeight="1">
      <c r="A14" s="20"/>
      <c r="B14" s="200"/>
      <c r="C14" s="204"/>
      <c r="D14" s="36" t="s">
        <v>56</v>
      </c>
      <c r="E14" s="34" t="s">
        <v>55</v>
      </c>
      <c r="F14" s="121">
        <v>2014</v>
      </c>
      <c r="G14" s="1"/>
      <c r="H14" s="114" t="s">
        <v>149</v>
      </c>
      <c r="I14" s="36" t="str">
        <f t="shared" si="41"/>
        <v>Discrete</v>
      </c>
      <c r="J14" s="36" t="s">
        <v>70</v>
      </c>
      <c r="K14" s="36" t="s">
        <v>72</v>
      </c>
      <c r="L14" s="39" t="s">
        <v>65</v>
      </c>
      <c r="M14" s="39" t="s">
        <v>265</v>
      </c>
      <c r="N14" s="39" t="s">
        <v>267</v>
      </c>
      <c r="O14" s="39" t="s">
        <v>270</v>
      </c>
      <c r="P14" s="2"/>
      <c r="Q14" s="51">
        <f>((111077/15)*(1/48)*(3*(AE14^2)*1140-4*1140^3))/1000^3</f>
        <v>5184.9854984000003</v>
      </c>
      <c r="R14" s="55">
        <f t="shared" si="58"/>
        <v>5473.0661395923544</v>
      </c>
      <c r="S14" s="55">
        <v>40.980261636694834</v>
      </c>
      <c r="T14" s="55">
        <f t="shared" si="1"/>
        <v>313.71617090808581</v>
      </c>
      <c r="U14" s="3" t="s">
        <v>75</v>
      </c>
      <c r="V14" s="29" t="s">
        <v>4</v>
      </c>
      <c r="W14" s="29">
        <f t="shared" si="52"/>
        <v>3</v>
      </c>
      <c r="X14" s="29" t="s">
        <v>14</v>
      </c>
      <c r="Y14" s="55">
        <f t="shared" si="56"/>
        <v>26</v>
      </c>
      <c r="Z14" s="36">
        <v>11700</v>
      </c>
      <c r="AA14" s="55">
        <f t="shared" si="59"/>
        <v>731.25</v>
      </c>
      <c r="AB14" s="55">
        <f t="shared" si="60"/>
        <v>26</v>
      </c>
      <c r="AC14" s="55">
        <f>AC13</f>
        <v>300</v>
      </c>
      <c r="AD14" s="36">
        <f t="shared" si="61"/>
        <v>26</v>
      </c>
      <c r="AE14" s="36">
        <v>3400</v>
      </c>
      <c r="AF14" s="1"/>
      <c r="AG14" s="29" t="s">
        <v>72</v>
      </c>
      <c r="AH14" s="36" t="s">
        <v>4</v>
      </c>
      <c r="AI14" s="36">
        <v>318</v>
      </c>
      <c r="AJ14" s="36">
        <v>137</v>
      </c>
      <c r="AK14" s="36">
        <v>13100</v>
      </c>
      <c r="AL14" s="1"/>
      <c r="AM14" s="122" t="s">
        <v>237</v>
      </c>
      <c r="AN14" s="29">
        <v>90</v>
      </c>
      <c r="AO14" s="55">
        <f>1800/15</f>
        <v>120</v>
      </c>
      <c r="AP14" s="68">
        <f>60*(0.7*25.4*(3/8))^1.7</f>
        <v>1509.6921324820373</v>
      </c>
      <c r="AQ14" s="1"/>
      <c r="AR14" s="51">
        <f>600/2-(AJ14/2)</f>
        <v>231.5</v>
      </c>
      <c r="AS14" s="55">
        <f t="shared" si="62"/>
        <v>231.5</v>
      </c>
      <c r="AT14" s="55">
        <f t="shared" si="55"/>
        <v>600</v>
      </c>
      <c r="AU14" s="1"/>
      <c r="AV14" s="79">
        <f t="shared" si="4"/>
        <v>6.8088235294117644E-2</v>
      </c>
      <c r="AW14" s="82">
        <f t="shared" si="5"/>
        <v>6.8088235294117644E-2</v>
      </c>
      <c r="AX14" s="85">
        <f t="shared" si="6"/>
        <v>19.372988366659719</v>
      </c>
      <c r="AY14" s="88">
        <f t="shared" si="7"/>
        <v>8.5858585858585865</v>
      </c>
      <c r="AZ14" s="91">
        <f t="shared" si="8"/>
        <v>0.53</v>
      </c>
      <c r="BA14" s="36">
        <v>1.21</v>
      </c>
      <c r="BB14" s="36">
        <v>80</v>
      </c>
      <c r="BC14" s="55">
        <f t="shared" si="9"/>
        <v>31404.550938926724</v>
      </c>
      <c r="BD14" s="88">
        <f t="shared" si="10"/>
        <v>88.358085454042907</v>
      </c>
      <c r="BE14" s="88">
        <f t="shared" si="11"/>
        <v>88.358085454042907</v>
      </c>
      <c r="BF14" s="58">
        <f t="shared" si="12"/>
        <v>313.71617090808581</v>
      </c>
      <c r="BG14" s="4"/>
      <c r="BH14" s="115">
        <f t="shared" si="13"/>
        <v>2</v>
      </c>
      <c r="BI14" s="115">
        <f t="shared" si="14"/>
        <v>1</v>
      </c>
      <c r="BJ14" s="116">
        <f t="shared" si="15"/>
        <v>34712600</v>
      </c>
      <c r="BK14" s="117">
        <f t="shared" si="16"/>
        <v>78</v>
      </c>
      <c r="BL14" s="117">
        <f t="shared" si="48"/>
        <v>39</v>
      </c>
      <c r="BM14" s="117">
        <f t="shared" si="18"/>
        <v>13</v>
      </c>
      <c r="BN14" s="117">
        <f t="shared" si="19"/>
        <v>39</v>
      </c>
      <c r="BO14" s="117">
        <f t="shared" si="20"/>
        <v>65</v>
      </c>
      <c r="BP14" s="117">
        <f t="shared" si="21"/>
        <v>0</v>
      </c>
      <c r="BQ14" s="117">
        <f t="shared" si="22"/>
        <v>0</v>
      </c>
      <c r="BR14" s="118">
        <f t="shared" si="23"/>
        <v>411278400</v>
      </c>
      <c r="BS14" s="96">
        <f t="shared" si="49"/>
        <v>445991000</v>
      </c>
      <c r="BT14" s="99">
        <f t="shared" si="25"/>
        <v>4809411934200</v>
      </c>
      <c r="BU14" s="96">
        <f t="shared" si="26"/>
        <v>608400</v>
      </c>
      <c r="BV14" s="99">
        <f t="shared" si="27"/>
        <v>570714600</v>
      </c>
      <c r="BW14" s="5"/>
      <c r="BX14" s="96">
        <f t="shared" si="28"/>
        <v>18276827867.611164</v>
      </c>
      <c r="BY14" s="99">
        <f t="shared" si="29"/>
        <v>24932391.179765139</v>
      </c>
      <c r="BZ14" s="91">
        <f t="shared" si="30"/>
        <v>0.37147191820700876</v>
      </c>
      <c r="CA14" s="88">
        <f t="shared" si="31"/>
        <v>3.1618763081267933</v>
      </c>
      <c r="CB14" s="88">
        <f t="shared" si="32"/>
        <v>194.83812369187319</v>
      </c>
      <c r="CC14" s="119">
        <f t="shared" si="33"/>
        <v>5184.9854986111386</v>
      </c>
      <c r="CD14" s="120">
        <f t="shared" si="34"/>
        <v>-2.1113828552188352E-7</v>
      </c>
      <c r="CE14" s="1"/>
      <c r="CF14" s="96">
        <f t="shared" si="35"/>
        <v>139914588779.46811</v>
      </c>
      <c r="CG14" s="99">
        <f t="shared" si="36"/>
        <v>190864918.3804794</v>
      </c>
      <c r="CH14" s="106">
        <f t="shared" si="37"/>
        <v>7.1670628796451127E-2</v>
      </c>
      <c r="CI14" s="88">
        <f t="shared" si="38"/>
        <v>4.7310318493938448</v>
      </c>
      <c r="CJ14" s="88">
        <f t="shared" si="39"/>
        <v>193.26896815060616</v>
      </c>
      <c r="CK14" s="99">
        <f t="shared" si="40"/>
        <v>5473066139592.3545</v>
      </c>
      <c r="CL14" s="93"/>
    </row>
    <row r="15" spans="1:90" ht="34.9" customHeight="1">
      <c r="A15" s="20"/>
      <c r="B15" s="200" t="s">
        <v>280</v>
      </c>
      <c r="C15" s="202" t="s">
        <v>298</v>
      </c>
      <c r="D15" s="31" t="s">
        <v>111</v>
      </c>
      <c r="E15" s="107" t="s">
        <v>112</v>
      </c>
      <c r="F15" s="108">
        <v>2015</v>
      </c>
      <c r="G15" s="1"/>
      <c r="H15" s="109" t="s">
        <v>149</v>
      </c>
      <c r="I15" s="31" t="str">
        <f t="shared" si="41"/>
        <v>Discrete</v>
      </c>
      <c r="J15" s="31" t="s">
        <v>70</v>
      </c>
      <c r="K15" s="31" t="s">
        <v>72</v>
      </c>
      <c r="L15" s="110" t="s">
        <v>65</v>
      </c>
      <c r="M15" s="110" t="s">
        <v>264</v>
      </c>
      <c r="N15" s="110" t="s">
        <v>268</v>
      </c>
      <c r="O15" s="110" t="s">
        <v>270</v>
      </c>
      <c r="P15" s="2"/>
      <c r="Q15" s="49">
        <f>(3*10^12)/1000^3</f>
        <v>3000</v>
      </c>
      <c r="R15" s="53">
        <f t="shared" si="58"/>
        <v>5079.0900904993105</v>
      </c>
      <c r="S15" s="53">
        <v>0</v>
      </c>
      <c r="T15" s="53">
        <f t="shared" si="1"/>
        <v>302.94175761117333</v>
      </c>
      <c r="U15" s="3" t="s">
        <v>75</v>
      </c>
      <c r="V15" s="27" t="s">
        <v>133</v>
      </c>
      <c r="W15" s="27">
        <f t="shared" si="52"/>
        <v>3</v>
      </c>
      <c r="X15" s="27" t="s">
        <v>14</v>
      </c>
      <c r="Y15" s="53">
        <v>20</v>
      </c>
      <c r="Z15" s="31">
        <v>11000</v>
      </c>
      <c r="AA15" s="31">
        <v>690</v>
      </c>
      <c r="AB15" s="53">
        <v>20</v>
      </c>
      <c r="AC15" s="53">
        <f>Z15/30</f>
        <v>366.66666666666669</v>
      </c>
      <c r="AD15" s="31">
        <f t="shared" si="61"/>
        <v>20</v>
      </c>
      <c r="AE15" s="31">
        <v>6500</v>
      </c>
      <c r="AF15" s="1"/>
      <c r="AG15" s="27" t="s">
        <v>72</v>
      </c>
      <c r="AH15" s="31" t="s">
        <v>116</v>
      </c>
      <c r="AI15" s="31">
        <v>315</v>
      </c>
      <c r="AJ15" s="31">
        <v>90</v>
      </c>
      <c r="AK15" s="31">
        <v>14200</v>
      </c>
      <c r="AL15" s="1"/>
      <c r="AM15" s="111" t="s">
        <v>238</v>
      </c>
      <c r="AN15" s="27">
        <v>45</v>
      </c>
      <c r="AO15" s="31">
        <v>450</v>
      </c>
      <c r="AP15" s="112">
        <v>9700</v>
      </c>
      <c r="AQ15" s="1"/>
      <c r="AR15" s="49">
        <f>(580-AJ15)/2</f>
        <v>245</v>
      </c>
      <c r="AS15" s="53">
        <f t="shared" si="62"/>
        <v>245</v>
      </c>
      <c r="AT15" s="53">
        <f t="shared" si="55"/>
        <v>580</v>
      </c>
      <c r="AU15" s="1"/>
      <c r="AV15" s="77">
        <f t="shared" si="4"/>
        <v>3.7692307692307692E-2</v>
      </c>
      <c r="AW15" s="80">
        <f t="shared" si="5"/>
        <v>3.7692307692307692E-2</v>
      </c>
      <c r="AX15" s="83">
        <f t="shared" si="6"/>
        <v>16.943215787107508</v>
      </c>
      <c r="AY15" s="86">
        <f t="shared" si="7"/>
        <v>17.333333333333332</v>
      </c>
      <c r="AZ15" s="89">
        <f t="shared" si="8"/>
        <v>0.53</v>
      </c>
      <c r="BA15" s="31">
        <v>1.21</v>
      </c>
      <c r="BB15" s="31">
        <v>80</v>
      </c>
      <c r="BC15" s="53">
        <f t="shared" si="9"/>
        <v>25969.096157932803</v>
      </c>
      <c r="BD15" s="86">
        <f t="shared" si="10"/>
        <v>106.47087880558666</v>
      </c>
      <c r="BE15" s="86">
        <f t="shared" si="11"/>
        <v>106.47087880558666</v>
      </c>
      <c r="BF15" s="56">
        <f t="shared" si="12"/>
        <v>302.94175761117333</v>
      </c>
      <c r="BG15" s="4"/>
      <c r="BH15" s="23">
        <f t="shared" si="13"/>
        <v>2</v>
      </c>
      <c r="BI15" s="23">
        <f t="shared" si="14"/>
        <v>1</v>
      </c>
      <c r="BJ15" s="30">
        <f t="shared" si="15"/>
        <v>14911111.11111111</v>
      </c>
      <c r="BK15" s="75">
        <f t="shared" si="16"/>
        <v>60</v>
      </c>
      <c r="BL15" s="75">
        <f t="shared" si="48"/>
        <v>30</v>
      </c>
      <c r="BM15" s="75">
        <f t="shared" si="18"/>
        <v>10</v>
      </c>
      <c r="BN15" s="75">
        <f t="shared" si="19"/>
        <v>30</v>
      </c>
      <c r="BO15" s="75">
        <f t="shared" si="20"/>
        <v>50</v>
      </c>
      <c r="BP15" s="75">
        <f t="shared" si="21"/>
        <v>0</v>
      </c>
      <c r="BQ15" s="75">
        <f t="shared" si="22"/>
        <v>0</v>
      </c>
      <c r="BR15" s="113">
        <f t="shared" si="23"/>
        <v>176000000</v>
      </c>
      <c r="BS15" s="94">
        <f t="shared" si="49"/>
        <v>190911111.1111111</v>
      </c>
      <c r="BT15" s="97">
        <f t="shared" si="25"/>
        <v>3328750687500</v>
      </c>
      <c r="BU15" s="94">
        <f t="shared" si="26"/>
        <v>440000</v>
      </c>
      <c r="BV15" s="97">
        <f t="shared" si="27"/>
        <v>402570000</v>
      </c>
      <c r="BW15" s="5"/>
      <c r="BX15" s="94">
        <f t="shared" si="28"/>
        <v>0</v>
      </c>
      <c r="BY15" s="97">
        <f t="shared" si="29"/>
        <v>0</v>
      </c>
      <c r="BZ15" s="89">
        <f t="shared" si="30"/>
        <v>1</v>
      </c>
      <c r="CA15" s="86">
        <f t="shared" si="31"/>
        <v>0</v>
      </c>
      <c r="CB15" s="86">
        <f t="shared" si="32"/>
        <v>187.5</v>
      </c>
      <c r="CC15" s="46">
        <f t="shared" si="33"/>
        <v>3328.7506874999999</v>
      </c>
      <c r="CD15" s="76">
        <f t="shared" si="34"/>
        <v>-328.75068749999991</v>
      </c>
      <c r="CE15" s="1"/>
      <c r="CF15" s="94">
        <f t="shared" si="35"/>
        <v>57834947547.501999</v>
      </c>
      <c r="CG15" s="97">
        <f t="shared" si="36"/>
        <v>133294373.34891626</v>
      </c>
      <c r="CH15" s="104">
        <f t="shared" si="37"/>
        <v>0.40907711285578985</v>
      </c>
      <c r="CI15" s="86">
        <f t="shared" si="38"/>
        <v>25.396675147876337</v>
      </c>
      <c r="CJ15" s="86">
        <f t="shared" si="39"/>
        <v>162.10332485212365</v>
      </c>
      <c r="CK15" s="97">
        <f t="shared" si="40"/>
        <v>5079090090499.3105</v>
      </c>
      <c r="CL15" s="93"/>
    </row>
    <row r="16" spans="1:90" ht="34.9" customHeight="1">
      <c r="A16" s="20"/>
      <c r="B16" s="200"/>
      <c r="C16" s="203"/>
      <c r="D16" s="32" t="s">
        <v>111</v>
      </c>
      <c r="E16" s="33" t="s">
        <v>113</v>
      </c>
      <c r="F16" s="35">
        <v>2015</v>
      </c>
      <c r="G16" s="1"/>
      <c r="H16" s="37" t="s">
        <v>149</v>
      </c>
      <c r="I16" s="32" t="str">
        <f t="shared" si="41"/>
        <v>Discrete</v>
      </c>
      <c r="J16" s="32" t="s">
        <v>70</v>
      </c>
      <c r="K16" s="32" t="s">
        <v>72</v>
      </c>
      <c r="L16" s="38" t="s">
        <v>65</v>
      </c>
      <c r="M16" s="38" t="s">
        <v>264</v>
      </c>
      <c r="N16" s="38" t="s">
        <v>268</v>
      </c>
      <c r="O16" s="38" t="s">
        <v>270</v>
      </c>
      <c r="P16" s="2"/>
      <c r="Q16" s="50">
        <f>(5.99*10^12)/1000^3</f>
        <v>5990</v>
      </c>
      <c r="R16" s="54">
        <f t="shared" si="58"/>
        <v>6330.1670053511398</v>
      </c>
      <c r="S16" s="54">
        <v>252.28178699773653</v>
      </c>
      <c r="T16" s="54">
        <f t="shared" si="1"/>
        <v>302.94175761117333</v>
      </c>
      <c r="U16" s="3" t="s">
        <v>75</v>
      </c>
      <c r="V16" s="28" t="s">
        <v>133</v>
      </c>
      <c r="W16" s="28">
        <f t="shared" si="52"/>
        <v>3</v>
      </c>
      <c r="X16" s="28" t="s">
        <v>14</v>
      </c>
      <c r="Y16" s="54">
        <v>20</v>
      </c>
      <c r="Z16" s="32">
        <v>11000</v>
      </c>
      <c r="AA16" s="32">
        <v>690</v>
      </c>
      <c r="AB16" s="54">
        <v>20</v>
      </c>
      <c r="AC16" s="54">
        <f t="shared" ref="AC16:AC18" si="63">Z16/30</f>
        <v>366.66666666666669</v>
      </c>
      <c r="AD16" s="32">
        <f t="shared" si="61"/>
        <v>20</v>
      </c>
      <c r="AE16" s="32">
        <v>6500</v>
      </c>
      <c r="AF16" s="1"/>
      <c r="AG16" s="28" t="s">
        <v>72</v>
      </c>
      <c r="AH16" s="32" t="s">
        <v>116</v>
      </c>
      <c r="AI16" s="32">
        <v>315</v>
      </c>
      <c r="AJ16" s="32">
        <v>90</v>
      </c>
      <c r="AK16" s="32">
        <v>14200</v>
      </c>
      <c r="AL16" s="1"/>
      <c r="AM16" s="65" t="s">
        <v>239</v>
      </c>
      <c r="AN16" s="28" t="s">
        <v>14</v>
      </c>
      <c r="AO16" s="32">
        <v>450</v>
      </c>
      <c r="AP16" s="67">
        <v>53600</v>
      </c>
      <c r="AQ16" s="1"/>
      <c r="AR16" s="50">
        <f>(580-AJ16)/2</f>
        <v>245</v>
      </c>
      <c r="AS16" s="54">
        <f t="shared" ref="AS16:AS18" si="64">AR16</f>
        <v>245</v>
      </c>
      <c r="AT16" s="54">
        <f t="shared" si="55"/>
        <v>580</v>
      </c>
      <c r="AU16" s="1"/>
      <c r="AV16" s="78">
        <f t="shared" si="4"/>
        <v>3.7692307692307692E-2</v>
      </c>
      <c r="AW16" s="81">
        <f t="shared" si="5"/>
        <v>3.7692307692307692E-2</v>
      </c>
      <c r="AX16" s="84">
        <f t="shared" si="6"/>
        <v>16.943215787107508</v>
      </c>
      <c r="AY16" s="87">
        <f t="shared" si="7"/>
        <v>17.333333333333332</v>
      </c>
      <c r="AZ16" s="90">
        <f t="shared" si="8"/>
        <v>0.53</v>
      </c>
      <c r="BA16" s="32">
        <v>1.21</v>
      </c>
      <c r="BB16" s="32">
        <v>80</v>
      </c>
      <c r="BC16" s="54">
        <f t="shared" si="9"/>
        <v>25969.096157932803</v>
      </c>
      <c r="BD16" s="87">
        <f t="shared" si="10"/>
        <v>106.47087880558666</v>
      </c>
      <c r="BE16" s="87">
        <f t="shared" si="11"/>
        <v>106.47087880558666</v>
      </c>
      <c r="BF16" s="57">
        <f t="shared" si="12"/>
        <v>302.94175761117333</v>
      </c>
      <c r="BG16" s="4"/>
      <c r="BH16" s="8">
        <f t="shared" si="13"/>
        <v>2</v>
      </c>
      <c r="BI16" s="8">
        <f t="shared" si="14"/>
        <v>1</v>
      </c>
      <c r="BJ16" s="13">
        <f t="shared" si="15"/>
        <v>14911111.11111111</v>
      </c>
      <c r="BK16" s="12">
        <f t="shared" si="16"/>
        <v>60</v>
      </c>
      <c r="BL16" s="12">
        <f t="shared" si="48"/>
        <v>30</v>
      </c>
      <c r="BM16" s="12">
        <f t="shared" si="18"/>
        <v>10</v>
      </c>
      <c r="BN16" s="12">
        <f t="shared" si="19"/>
        <v>30</v>
      </c>
      <c r="BO16" s="12">
        <f t="shared" si="20"/>
        <v>50</v>
      </c>
      <c r="BP16" s="12">
        <f t="shared" si="21"/>
        <v>0</v>
      </c>
      <c r="BQ16" s="12">
        <f t="shared" si="22"/>
        <v>0</v>
      </c>
      <c r="BR16" s="92">
        <f t="shared" si="23"/>
        <v>176000000</v>
      </c>
      <c r="BS16" s="95">
        <f t="shared" si="49"/>
        <v>190911111.1111111</v>
      </c>
      <c r="BT16" s="98">
        <f t="shared" si="25"/>
        <v>3328750687500</v>
      </c>
      <c r="BU16" s="95">
        <f t="shared" si="26"/>
        <v>440000</v>
      </c>
      <c r="BV16" s="98">
        <f t="shared" si="27"/>
        <v>402570000</v>
      </c>
      <c r="BW16" s="5"/>
      <c r="BX16" s="95">
        <f t="shared" si="28"/>
        <v>48163396268.834541</v>
      </c>
      <c r="BY16" s="98">
        <f t="shared" si="29"/>
        <v>111003986.27900407</v>
      </c>
      <c r="BZ16" s="90">
        <f t="shared" si="30"/>
        <v>0.82122002841163744</v>
      </c>
      <c r="CA16" s="87">
        <f t="shared" si="31"/>
        <v>34.618720272001227</v>
      </c>
      <c r="CB16" s="87">
        <f t="shared" si="32"/>
        <v>152.88127972799879</v>
      </c>
      <c r="CC16" s="43">
        <f t="shared" si="33"/>
        <v>5989.9999999999982</v>
      </c>
      <c r="CD16" s="11">
        <f t="shared" si="34"/>
        <v>0</v>
      </c>
      <c r="CE16" s="1"/>
      <c r="CF16" s="95">
        <f t="shared" si="35"/>
        <v>57834947547.501999</v>
      </c>
      <c r="CG16" s="98">
        <f t="shared" si="36"/>
        <v>133294373.34891626</v>
      </c>
      <c r="CH16" s="105">
        <f t="shared" si="37"/>
        <v>0.79275972806958506</v>
      </c>
      <c r="CI16" s="87">
        <f t="shared" si="38"/>
        <v>40.388166200804477</v>
      </c>
      <c r="CJ16" s="87">
        <f t="shared" si="39"/>
        <v>147.11183379919552</v>
      </c>
      <c r="CK16" s="98">
        <f t="shared" si="40"/>
        <v>6330167005351.1396</v>
      </c>
      <c r="CL16" s="93"/>
    </row>
    <row r="17" spans="1:90" ht="34.9" customHeight="1">
      <c r="A17" s="20"/>
      <c r="B17" s="200"/>
      <c r="C17" s="203"/>
      <c r="D17" s="32" t="s">
        <v>111</v>
      </c>
      <c r="E17" s="33" t="s">
        <v>114</v>
      </c>
      <c r="F17" s="35">
        <v>2015</v>
      </c>
      <c r="G17" s="1"/>
      <c r="H17" s="37" t="s">
        <v>149</v>
      </c>
      <c r="I17" s="32" t="str">
        <f t="shared" si="41"/>
        <v>Discrete</v>
      </c>
      <c r="J17" s="32" t="s">
        <v>70</v>
      </c>
      <c r="K17" s="32" t="s">
        <v>72</v>
      </c>
      <c r="L17" s="38" t="s">
        <v>65</v>
      </c>
      <c r="M17" s="38" t="s">
        <v>264</v>
      </c>
      <c r="N17" s="38" t="s">
        <v>268</v>
      </c>
      <c r="O17" s="38" t="s">
        <v>270</v>
      </c>
      <c r="P17" s="2"/>
      <c r="Q17" s="50">
        <f>(6.35*10^12)/1000^3</f>
        <v>6350</v>
      </c>
      <c r="R17" s="54">
        <f t="shared" si="58"/>
        <v>6029.4183283746324</v>
      </c>
      <c r="S17" s="54">
        <v>371.9074446348601</v>
      </c>
      <c r="T17" s="54">
        <f t="shared" si="1"/>
        <v>302.94175761117333</v>
      </c>
      <c r="U17" s="3" t="s">
        <v>75</v>
      </c>
      <c r="V17" s="28" t="s">
        <v>133</v>
      </c>
      <c r="W17" s="28">
        <f t="shared" si="52"/>
        <v>3</v>
      </c>
      <c r="X17" s="28" t="s">
        <v>14</v>
      </c>
      <c r="Y17" s="54">
        <v>20</v>
      </c>
      <c r="Z17" s="32">
        <v>11000</v>
      </c>
      <c r="AA17" s="32">
        <v>690</v>
      </c>
      <c r="AB17" s="54">
        <v>20</v>
      </c>
      <c r="AC17" s="54">
        <f t="shared" si="63"/>
        <v>366.66666666666669</v>
      </c>
      <c r="AD17" s="32">
        <f t="shared" si="61"/>
        <v>20</v>
      </c>
      <c r="AE17" s="32">
        <v>6500</v>
      </c>
      <c r="AF17" s="1"/>
      <c r="AG17" s="28" t="s">
        <v>72</v>
      </c>
      <c r="AH17" s="32" t="s">
        <v>116</v>
      </c>
      <c r="AI17" s="32">
        <v>315</v>
      </c>
      <c r="AJ17" s="32">
        <v>90</v>
      </c>
      <c r="AK17" s="32">
        <v>14200</v>
      </c>
      <c r="AL17" s="1"/>
      <c r="AM17" s="65" t="s">
        <v>239</v>
      </c>
      <c r="AN17" s="28">
        <v>45</v>
      </c>
      <c r="AO17" s="32">
        <v>450</v>
      </c>
      <c r="AP17" s="67">
        <f>AVERAGE(AP15:AP16)</f>
        <v>31650</v>
      </c>
      <c r="AQ17" s="1"/>
      <c r="AR17" s="50">
        <f>(580-AJ17)/2</f>
        <v>245</v>
      </c>
      <c r="AS17" s="54">
        <f t="shared" si="64"/>
        <v>245</v>
      </c>
      <c r="AT17" s="54">
        <f t="shared" si="55"/>
        <v>580</v>
      </c>
      <c r="AU17" s="1"/>
      <c r="AV17" s="78">
        <f t="shared" si="4"/>
        <v>3.7692307692307692E-2</v>
      </c>
      <c r="AW17" s="81">
        <f t="shared" si="5"/>
        <v>3.7692307692307692E-2</v>
      </c>
      <c r="AX17" s="84">
        <f t="shared" si="6"/>
        <v>16.943215787107508</v>
      </c>
      <c r="AY17" s="87">
        <f t="shared" si="7"/>
        <v>17.333333333333332</v>
      </c>
      <c r="AZ17" s="90">
        <f t="shared" si="8"/>
        <v>0.53</v>
      </c>
      <c r="BA17" s="32">
        <v>1.21</v>
      </c>
      <c r="BB17" s="32">
        <v>80</v>
      </c>
      <c r="BC17" s="54">
        <f t="shared" si="9"/>
        <v>25969.096157932803</v>
      </c>
      <c r="BD17" s="87">
        <f t="shared" si="10"/>
        <v>106.47087880558666</v>
      </c>
      <c r="BE17" s="87">
        <f t="shared" si="11"/>
        <v>106.47087880558666</v>
      </c>
      <c r="BF17" s="57">
        <f t="shared" si="12"/>
        <v>302.94175761117333</v>
      </c>
      <c r="BG17" s="4"/>
      <c r="BH17" s="8">
        <f t="shared" si="13"/>
        <v>2</v>
      </c>
      <c r="BI17" s="8">
        <f t="shared" si="14"/>
        <v>1</v>
      </c>
      <c r="BJ17" s="13">
        <f t="shared" si="15"/>
        <v>14911111.11111111</v>
      </c>
      <c r="BK17" s="12">
        <f t="shared" si="16"/>
        <v>60</v>
      </c>
      <c r="BL17" s="12">
        <f t="shared" si="48"/>
        <v>30</v>
      </c>
      <c r="BM17" s="12">
        <f t="shared" si="18"/>
        <v>10</v>
      </c>
      <c r="BN17" s="12">
        <f t="shared" si="19"/>
        <v>30</v>
      </c>
      <c r="BO17" s="12">
        <f t="shared" si="20"/>
        <v>50</v>
      </c>
      <c r="BP17" s="12">
        <f t="shared" si="21"/>
        <v>0</v>
      </c>
      <c r="BQ17" s="12">
        <f t="shared" si="22"/>
        <v>0</v>
      </c>
      <c r="BR17" s="92">
        <f t="shared" si="23"/>
        <v>176000000</v>
      </c>
      <c r="BS17" s="95">
        <f t="shared" si="49"/>
        <v>190911111.1111111</v>
      </c>
      <c r="BT17" s="98">
        <f t="shared" si="25"/>
        <v>3328750687500</v>
      </c>
      <c r="BU17" s="95">
        <f t="shared" si="26"/>
        <v>440000</v>
      </c>
      <c r="BV17" s="98">
        <f t="shared" si="27"/>
        <v>402570000</v>
      </c>
      <c r="BW17" s="5"/>
      <c r="BX17" s="95">
        <f t="shared" si="28"/>
        <v>71001263485.735184</v>
      </c>
      <c r="BY17" s="98">
        <f t="shared" si="29"/>
        <v>163639275.63933843</v>
      </c>
      <c r="BZ17" s="90">
        <f t="shared" si="30"/>
        <v>0.64787828741159381</v>
      </c>
      <c r="CA17" s="87">
        <f t="shared" si="31"/>
        <v>39.085516211862348</v>
      </c>
      <c r="CB17" s="87">
        <f t="shared" si="32"/>
        <v>148.41448378813766</v>
      </c>
      <c r="CC17" s="43">
        <f t="shared" si="33"/>
        <v>6350.0000000000027</v>
      </c>
      <c r="CD17" s="11">
        <f t="shared" si="34"/>
        <v>0</v>
      </c>
      <c r="CE17" s="1"/>
      <c r="CF17" s="95">
        <f t="shared" si="35"/>
        <v>57834947547.501999</v>
      </c>
      <c r="CG17" s="98">
        <f t="shared" si="36"/>
        <v>133294373.34891626</v>
      </c>
      <c r="CH17" s="105">
        <f t="shared" si="37"/>
        <v>0.69313787931867654</v>
      </c>
      <c r="CI17" s="87">
        <f t="shared" si="38"/>
        <v>33.572801474652188</v>
      </c>
      <c r="CJ17" s="87">
        <f t="shared" si="39"/>
        <v>153.92719852534782</v>
      </c>
      <c r="CK17" s="98">
        <f t="shared" si="40"/>
        <v>6029418328374.6328</v>
      </c>
      <c r="CL17" s="93"/>
    </row>
    <row r="18" spans="1:90" ht="34.9" customHeight="1">
      <c r="A18" s="20"/>
      <c r="B18" s="200"/>
      <c r="C18" s="204"/>
      <c r="D18" s="36" t="s">
        <v>111</v>
      </c>
      <c r="E18" s="34" t="s">
        <v>115</v>
      </c>
      <c r="F18" s="121">
        <v>2015</v>
      </c>
      <c r="G18" s="1"/>
      <c r="H18" s="114" t="s">
        <v>149</v>
      </c>
      <c r="I18" s="36" t="str">
        <f t="shared" si="41"/>
        <v>Glue</v>
      </c>
      <c r="J18" s="36" t="s">
        <v>70</v>
      </c>
      <c r="K18" s="36" t="s">
        <v>72</v>
      </c>
      <c r="L18" s="39" t="s">
        <v>65</v>
      </c>
      <c r="M18" s="39" t="s">
        <v>264</v>
      </c>
      <c r="N18" s="39" t="s">
        <v>268</v>
      </c>
      <c r="O18" s="39" t="s">
        <v>270</v>
      </c>
      <c r="P18" s="2"/>
      <c r="Q18" s="51">
        <f>(7.4*10^12)/1000^3</f>
        <v>7400</v>
      </c>
      <c r="R18" s="55">
        <f t="shared" si="58"/>
        <v>6909.4521479825507</v>
      </c>
      <c r="S18" s="55">
        <v>360.76152660123773</v>
      </c>
      <c r="T18" s="55">
        <f t="shared" si="1"/>
        <v>302.94175761117333</v>
      </c>
      <c r="U18" s="3" t="s">
        <v>75</v>
      </c>
      <c r="V18" s="29" t="s">
        <v>133</v>
      </c>
      <c r="W18" s="29">
        <f t="shared" si="52"/>
        <v>3</v>
      </c>
      <c r="X18" s="29" t="s">
        <v>14</v>
      </c>
      <c r="Y18" s="55">
        <v>20</v>
      </c>
      <c r="Z18" s="36">
        <v>11000</v>
      </c>
      <c r="AA18" s="36">
        <v>690</v>
      </c>
      <c r="AB18" s="55">
        <v>20</v>
      </c>
      <c r="AC18" s="55">
        <f t="shared" si="63"/>
        <v>366.66666666666669</v>
      </c>
      <c r="AD18" s="36">
        <f t="shared" si="61"/>
        <v>20</v>
      </c>
      <c r="AE18" s="36">
        <v>6500</v>
      </c>
      <c r="AF18" s="1"/>
      <c r="AG18" s="29" t="s">
        <v>72</v>
      </c>
      <c r="AH18" s="36" t="s">
        <v>116</v>
      </c>
      <c r="AI18" s="36">
        <v>315</v>
      </c>
      <c r="AJ18" s="36">
        <v>90</v>
      </c>
      <c r="AK18" s="36">
        <v>14200</v>
      </c>
      <c r="AL18" s="1"/>
      <c r="AM18" s="122" t="s">
        <v>20</v>
      </c>
      <c r="AN18" s="29">
        <v>90</v>
      </c>
      <c r="AO18" s="36" t="s">
        <v>14</v>
      </c>
      <c r="AP18" s="68" t="s">
        <v>14</v>
      </c>
      <c r="AQ18" s="1"/>
      <c r="AR18" s="51">
        <f>(580-AJ18)/2</f>
        <v>245</v>
      </c>
      <c r="AS18" s="55">
        <f t="shared" si="64"/>
        <v>245</v>
      </c>
      <c r="AT18" s="55">
        <f t="shared" si="55"/>
        <v>580</v>
      </c>
      <c r="AU18" s="1"/>
      <c r="AV18" s="79">
        <f t="shared" si="4"/>
        <v>3.7692307692307692E-2</v>
      </c>
      <c r="AW18" s="82">
        <f t="shared" si="5"/>
        <v>3.7692307692307692E-2</v>
      </c>
      <c r="AX18" s="85">
        <f t="shared" si="6"/>
        <v>16.943215787107508</v>
      </c>
      <c r="AY18" s="88">
        <f t="shared" si="7"/>
        <v>17.333333333333332</v>
      </c>
      <c r="AZ18" s="91">
        <f t="shared" si="8"/>
        <v>0.53</v>
      </c>
      <c r="BA18" s="36">
        <v>1.21</v>
      </c>
      <c r="BB18" s="36">
        <v>80</v>
      </c>
      <c r="BC18" s="55">
        <f t="shared" si="9"/>
        <v>25969.096157932803</v>
      </c>
      <c r="BD18" s="88">
        <f t="shared" si="10"/>
        <v>106.47087880558666</v>
      </c>
      <c r="BE18" s="88">
        <f t="shared" si="11"/>
        <v>106.47087880558666</v>
      </c>
      <c r="BF18" s="58">
        <f t="shared" si="12"/>
        <v>302.94175761117333</v>
      </c>
      <c r="BG18" s="4"/>
      <c r="BH18" s="115">
        <f t="shared" si="13"/>
        <v>2</v>
      </c>
      <c r="BI18" s="115">
        <f t="shared" si="14"/>
        <v>1</v>
      </c>
      <c r="BJ18" s="116">
        <f t="shared" si="15"/>
        <v>14911111.11111111</v>
      </c>
      <c r="BK18" s="117">
        <f t="shared" si="16"/>
        <v>60</v>
      </c>
      <c r="BL18" s="117">
        <f t="shared" si="48"/>
        <v>30</v>
      </c>
      <c r="BM18" s="117">
        <f t="shared" si="18"/>
        <v>10</v>
      </c>
      <c r="BN18" s="117">
        <f t="shared" si="19"/>
        <v>30</v>
      </c>
      <c r="BO18" s="117">
        <f t="shared" si="20"/>
        <v>50</v>
      </c>
      <c r="BP18" s="117">
        <f t="shared" si="21"/>
        <v>0</v>
      </c>
      <c r="BQ18" s="117">
        <f t="shared" si="22"/>
        <v>0</v>
      </c>
      <c r="BR18" s="118">
        <f t="shared" si="23"/>
        <v>176000000</v>
      </c>
      <c r="BS18" s="96">
        <f t="shared" si="49"/>
        <v>190911111.1111111</v>
      </c>
      <c r="BT18" s="99">
        <f t="shared" si="25"/>
        <v>3328750687500</v>
      </c>
      <c r="BU18" s="96">
        <f t="shared" si="26"/>
        <v>440000</v>
      </c>
      <c r="BV18" s="99">
        <f t="shared" si="27"/>
        <v>402570000</v>
      </c>
      <c r="BW18" s="5"/>
      <c r="BX18" s="96">
        <f t="shared" si="28"/>
        <v>68873383889.582962</v>
      </c>
      <c r="BY18" s="99">
        <f t="shared" si="29"/>
        <v>158735071.7045446</v>
      </c>
      <c r="BZ18" s="91">
        <f t="shared" si="30"/>
        <v>1</v>
      </c>
      <c r="CA18" s="88">
        <f t="shared" si="31"/>
        <v>53.024331054447408</v>
      </c>
      <c r="CB18" s="88">
        <f t="shared" si="32"/>
        <v>134.4756689455526</v>
      </c>
      <c r="CC18" s="119">
        <f t="shared" si="33"/>
        <v>7400.0000000000009</v>
      </c>
      <c r="CD18" s="120">
        <f t="shared" si="34"/>
        <v>0</v>
      </c>
      <c r="CE18" s="1"/>
      <c r="CF18" s="96">
        <f t="shared" si="35"/>
        <v>57834947547.501999</v>
      </c>
      <c r="CG18" s="99">
        <f t="shared" si="36"/>
        <v>133294373.34891626</v>
      </c>
      <c r="CH18" s="106">
        <f t="shared" si="37"/>
        <v>1</v>
      </c>
      <c r="CI18" s="88">
        <f t="shared" si="38"/>
        <v>44.526045216418893</v>
      </c>
      <c r="CJ18" s="88">
        <f t="shared" si="39"/>
        <v>142.97395478358112</v>
      </c>
      <c r="CK18" s="99">
        <f t="shared" si="40"/>
        <v>6909452147982.5508</v>
      </c>
      <c r="CL18" s="93"/>
    </row>
    <row r="19" spans="1:90" ht="71.25">
      <c r="A19" s="20"/>
      <c r="B19" s="153" t="s">
        <v>284</v>
      </c>
      <c r="C19" s="205" t="s">
        <v>299</v>
      </c>
      <c r="D19" s="123" t="s">
        <v>21</v>
      </c>
      <c r="E19" s="123" t="s">
        <v>14</v>
      </c>
      <c r="F19" s="124">
        <v>2018</v>
      </c>
      <c r="G19" s="1"/>
      <c r="H19" s="125" t="s">
        <v>149</v>
      </c>
      <c r="I19" s="123" t="str">
        <f t="shared" si="41"/>
        <v>Discrete</v>
      </c>
      <c r="J19" s="123" t="s">
        <v>69</v>
      </c>
      <c r="K19" s="123" t="s">
        <v>30</v>
      </c>
      <c r="L19" s="126" t="s">
        <v>66</v>
      </c>
      <c r="M19" s="126" t="s">
        <v>265</v>
      </c>
      <c r="N19" s="126" t="s">
        <v>268</v>
      </c>
      <c r="O19" s="126" t="s">
        <v>269</v>
      </c>
      <c r="P19" s="2"/>
      <c r="Q19" s="127">
        <f>((50*1000/1.8)*(AE19^3)/48)/1000^3</f>
        <v>125000</v>
      </c>
      <c r="R19" s="128">
        <f t="shared" si="58"/>
        <v>122859.94132609284</v>
      </c>
      <c r="S19" s="129">
        <v>847.32911592684241</v>
      </c>
      <c r="T19" s="128">
        <f t="shared" si="1"/>
        <v>775.89565912039325</v>
      </c>
      <c r="U19" s="3" t="s">
        <v>75</v>
      </c>
      <c r="V19" s="103" t="s">
        <v>3</v>
      </c>
      <c r="W19" s="103">
        <f t="shared" si="52"/>
        <v>5</v>
      </c>
      <c r="X19" s="103" t="s">
        <v>14</v>
      </c>
      <c r="Y19" s="123">
        <v>40</v>
      </c>
      <c r="Z19" s="123">
        <v>10200</v>
      </c>
      <c r="AA19" s="123">
        <v>690</v>
      </c>
      <c r="AB19" s="123">
        <v>40</v>
      </c>
      <c r="AC19" s="128">
        <f t="shared" ref="AC19:AC73" si="65">11000/30</f>
        <v>366.66666666666669</v>
      </c>
      <c r="AD19" s="123">
        <f>MAX(Y19,AB19)</f>
        <v>40</v>
      </c>
      <c r="AE19" s="123">
        <v>6000</v>
      </c>
      <c r="AF19" s="1"/>
      <c r="AG19" s="103" t="s">
        <v>30</v>
      </c>
      <c r="AH19" s="123" t="s">
        <v>30</v>
      </c>
      <c r="AI19" s="123">
        <v>605</v>
      </c>
      <c r="AJ19" s="123">
        <v>310</v>
      </c>
      <c r="AK19" s="123">
        <v>11000</v>
      </c>
      <c r="AL19" s="1"/>
      <c r="AM19" s="130" t="s">
        <v>240</v>
      </c>
      <c r="AN19" s="103">
        <v>45</v>
      </c>
      <c r="AO19" s="123">
        <v>200</v>
      </c>
      <c r="AP19" s="128">
        <f>(60*(0.7*11)^1.7)*(SQRT(2)/2)*( SIN(RADIANS(45)) -0.25*COS(RADIANS(45))) + 0.5*(160*(494/420)^0.85*11^0.9*(200*SQRT(2)/2))*COS(RADIANS(45))*(COS(RADIANS(45)) - 0.25*SIN((45)))</f>
        <v>40015.760484408282</v>
      </c>
      <c r="AQ19" s="1"/>
      <c r="AR19" s="127">
        <f>AS19</f>
        <v>845</v>
      </c>
      <c r="AS19" s="128">
        <f t="shared" ref="AS19:AS26" si="66">(2000-AJ19)/2</f>
        <v>845</v>
      </c>
      <c r="AT19" s="128">
        <f t="shared" si="55"/>
        <v>2000</v>
      </c>
      <c r="AU19" s="1"/>
      <c r="AV19" s="131">
        <f t="shared" si="4"/>
        <v>0.14083333333333334</v>
      </c>
      <c r="AW19" s="132">
        <f t="shared" si="5"/>
        <v>0.14083333333333334</v>
      </c>
      <c r="AX19" s="133">
        <f t="shared" si="6"/>
        <v>18.761374686564253</v>
      </c>
      <c r="AY19" s="134">
        <f t="shared" si="7"/>
        <v>7.4534161490683228</v>
      </c>
      <c r="AZ19" s="135">
        <f t="shared" si="8"/>
        <v>0.43</v>
      </c>
      <c r="BA19" s="123">
        <v>1.21</v>
      </c>
      <c r="BB19" s="123">
        <v>80</v>
      </c>
      <c r="BC19" s="128">
        <f t="shared" si="9"/>
        <v>65240.421901309499</v>
      </c>
      <c r="BD19" s="134">
        <f t="shared" si="10"/>
        <v>232.9478295601966</v>
      </c>
      <c r="BE19" s="134">
        <f t="shared" si="11"/>
        <v>232.9478295601966</v>
      </c>
      <c r="BF19" s="129">
        <f t="shared" si="12"/>
        <v>775.89565912039325</v>
      </c>
      <c r="BG19" s="4"/>
      <c r="BH19" s="136">
        <f t="shared" si="13"/>
        <v>3</v>
      </c>
      <c r="BI19" s="136">
        <f t="shared" si="14"/>
        <v>2</v>
      </c>
      <c r="BJ19" s="137">
        <f t="shared" si="15"/>
        <v>167111111.1111111</v>
      </c>
      <c r="BK19" s="138">
        <f t="shared" si="16"/>
        <v>200</v>
      </c>
      <c r="BL19" s="138">
        <f t="shared" si="48"/>
        <v>100</v>
      </c>
      <c r="BM19" s="138">
        <f t="shared" si="18"/>
        <v>20</v>
      </c>
      <c r="BN19" s="138">
        <f t="shared" si="19"/>
        <v>60</v>
      </c>
      <c r="BO19" s="138">
        <f t="shared" si="20"/>
        <v>100</v>
      </c>
      <c r="BP19" s="138">
        <f t="shared" si="21"/>
        <v>140</v>
      </c>
      <c r="BQ19" s="138">
        <f t="shared" si="22"/>
        <v>180</v>
      </c>
      <c r="BR19" s="139">
        <f t="shared" si="23"/>
        <v>5269333333.333333</v>
      </c>
      <c r="BS19" s="140">
        <f t="shared" si="49"/>
        <v>5436444444.4444437</v>
      </c>
      <c r="BT19" s="141">
        <f t="shared" si="25"/>
        <v>62927323020833.336</v>
      </c>
      <c r="BU19" s="140">
        <f t="shared" si="26"/>
        <v>1224000</v>
      </c>
      <c r="BV19" s="141">
        <f t="shared" si="27"/>
        <v>2063050000</v>
      </c>
      <c r="BW19" s="5"/>
      <c r="BX19" s="140">
        <f t="shared" si="28"/>
        <v>4606457664896.5039</v>
      </c>
      <c r="BY19" s="141">
        <f t="shared" si="29"/>
        <v>1037130837.8944551</v>
      </c>
      <c r="BZ19" s="135">
        <f t="shared" si="30"/>
        <v>0.41303256487388323</v>
      </c>
      <c r="CA19" s="134">
        <f t="shared" si="31"/>
        <v>69.204922657481887</v>
      </c>
      <c r="CB19" s="134">
        <f t="shared" si="32"/>
        <v>333.29507734251808</v>
      </c>
      <c r="CC19" s="142">
        <f t="shared" si="33"/>
        <v>125000.00000035831</v>
      </c>
      <c r="CD19" s="143">
        <f t="shared" si="34"/>
        <v>-3.5831180866807699E-7</v>
      </c>
      <c r="CE19" s="1"/>
      <c r="CF19" s="140">
        <f t="shared" si="35"/>
        <v>4218113645493.6216</v>
      </c>
      <c r="CG19" s="141">
        <f t="shared" si="36"/>
        <v>949696286.76336133</v>
      </c>
      <c r="CH19" s="144">
        <f t="shared" si="37"/>
        <v>0.43453503444088476</v>
      </c>
      <c r="CI19" s="134">
        <f t="shared" si="38"/>
        <v>66.078256567635648</v>
      </c>
      <c r="CJ19" s="134">
        <f t="shared" si="39"/>
        <v>336.42174343236434</v>
      </c>
      <c r="CK19" s="141">
        <f t="shared" si="40"/>
        <v>122859941326092.84</v>
      </c>
      <c r="CL19" s="93"/>
    </row>
    <row r="20" spans="1:90" ht="34.9" customHeight="1">
      <c r="A20" s="20"/>
      <c r="B20" s="200" t="s">
        <v>281</v>
      </c>
      <c r="C20" s="206" t="s">
        <v>300</v>
      </c>
      <c r="D20" s="31" t="s">
        <v>126</v>
      </c>
      <c r="E20" s="31" t="s">
        <v>117</v>
      </c>
      <c r="F20" s="108">
        <v>2019</v>
      </c>
      <c r="G20" s="1"/>
      <c r="H20" s="109" t="s">
        <v>149</v>
      </c>
      <c r="I20" s="31" t="str">
        <f t="shared" si="41"/>
        <v>Discrete</v>
      </c>
      <c r="J20" s="31" t="s">
        <v>70</v>
      </c>
      <c r="K20" s="31" t="s">
        <v>72</v>
      </c>
      <c r="L20" s="110" t="s">
        <v>124</v>
      </c>
      <c r="M20" s="110" t="s">
        <v>264</v>
      </c>
      <c r="N20" s="110" t="s">
        <v>268</v>
      </c>
      <c r="O20" s="110" t="s">
        <v>270</v>
      </c>
      <c r="P20" s="2"/>
      <c r="Q20" s="49">
        <f>(4.92*10^12)/1000^3</f>
        <v>4920</v>
      </c>
      <c r="R20" s="53">
        <f t="shared" si="58"/>
        <v>5830.3434810225035</v>
      </c>
      <c r="S20" s="56">
        <v>401.72418656315364</v>
      </c>
      <c r="T20" s="53">
        <f t="shared" si="1"/>
        <v>685.11263201575196</v>
      </c>
      <c r="U20" s="3" t="s">
        <v>75</v>
      </c>
      <c r="V20" s="27" t="s">
        <v>258</v>
      </c>
      <c r="W20" s="27">
        <v>3</v>
      </c>
      <c r="X20" s="27" t="s">
        <v>14</v>
      </c>
      <c r="Y20" s="31">
        <f>57/3</f>
        <v>19</v>
      </c>
      <c r="Z20" s="31">
        <v>12000</v>
      </c>
      <c r="AA20" s="31">
        <v>690</v>
      </c>
      <c r="AB20" s="31">
        <v>19</v>
      </c>
      <c r="AC20" s="53">
        <f>Z20/30</f>
        <v>400</v>
      </c>
      <c r="AD20" s="31">
        <f t="shared" ref="AD20:AD26" si="67">MAX(Y20,AB20)</f>
        <v>19</v>
      </c>
      <c r="AE20" s="31">
        <v>6400</v>
      </c>
      <c r="AF20" s="1"/>
      <c r="AG20" s="27" t="str">
        <f t="shared" ref="AG20:AG28" si="68">K20</f>
        <v>Glulam</v>
      </c>
      <c r="AH20" s="31" t="s">
        <v>26</v>
      </c>
      <c r="AI20" s="31">
        <v>240</v>
      </c>
      <c r="AJ20" s="31">
        <v>180</v>
      </c>
      <c r="AK20" s="31">
        <v>11500</v>
      </c>
      <c r="AL20" s="1"/>
      <c r="AM20" s="63" t="s">
        <v>242</v>
      </c>
      <c r="AN20" s="27">
        <v>45</v>
      </c>
      <c r="AO20" s="31">
        <v>120</v>
      </c>
      <c r="AP20" s="53">
        <f>2*9773</f>
        <v>19546</v>
      </c>
      <c r="AQ20" s="1"/>
      <c r="AR20" s="49">
        <f>AS20</f>
        <v>910</v>
      </c>
      <c r="AS20" s="53">
        <f t="shared" si="66"/>
        <v>910</v>
      </c>
      <c r="AT20" s="53">
        <f t="shared" si="55"/>
        <v>2000</v>
      </c>
      <c r="AU20" s="1"/>
      <c r="AV20" s="77">
        <f t="shared" si="4"/>
        <v>0.14218749999999999</v>
      </c>
      <c r="AW20" s="80">
        <f t="shared" si="5"/>
        <v>0.14218749999999999</v>
      </c>
      <c r="AX20" s="83">
        <f t="shared" si="6"/>
        <v>18.068922855114465</v>
      </c>
      <c r="AY20" s="86">
        <f t="shared" si="7"/>
        <v>21.54882154882155</v>
      </c>
      <c r="AZ20" s="89">
        <f t="shared" si="8"/>
        <v>0.53</v>
      </c>
      <c r="BA20" s="31">
        <v>1.21</v>
      </c>
      <c r="BB20" s="31">
        <v>80</v>
      </c>
      <c r="BC20" s="53">
        <f t="shared" si="9"/>
        <v>25236.700807039408</v>
      </c>
      <c r="BD20" s="86">
        <f t="shared" si="10"/>
        <v>252.55631600787598</v>
      </c>
      <c r="BE20" s="86">
        <f t="shared" si="11"/>
        <v>252.55631600787598</v>
      </c>
      <c r="BF20" s="56">
        <f t="shared" si="12"/>
        <v>685.11263201575196</v>
      </c>
      <c r="BG20" s="4"/>
      <c r="BH20" s="23">
        <f t="shared" si="13"/>
        <v>2</v>
      </c>
      <c r="BI20" s="23">
        <f t="shared" si="14"/>
        <v>1</v>
      </c>
      <c r="BJ20" s="30">
        <f t="shared" si="15"/>
        <v>13946633.333333334</v>
      </c>
      <c r="BK20" s="75">
        <f t="shared" si="16"/>
        <v>57</v>
      </c>
      <c r="BL20" s="75">
        <f t="shared" si="48"/>
        <v>28.5</v>
      </c>
      <c r="BM20" s="75">
        <f t="shared" si="18"/>
        <v>9.5</v>
      </c>
      <c r="BN20" s="75">
        <f t="shared" si="19"/>
        <v>28.5</v>
      </c>
      <c r="BO20" s="75">
        <f t="shared" si="20"/>
        <v>47.5</v>
      </c>
      <c r="BP20" s="75">
        <f t="shared" si="21"/>
        <v>0</v>
      </c>
      <c r="BQ20" s="75">
        <f t="shared" si="22"/>
        <v>0</v>
      </c>
      <c r="BR20" s="113">
        <f t="shared" si="23"/>
        <v>164616000</v>
      </c>
      <c r="BS20" s="94">
        <f t="shared" si="49"/>
        <v>178562633.33333334</v>
      </c>
      <c r="BT20" s="97">
        <f t="shared" si="25"/>
        <v>2384640000000</v>
      </c>
      <c r="BU20" s="94">
        <f t="shared" si="26"/>
        <v>456000</v>
      </c>
      <c r="BV20" s="97">
        <f t="shared" si="27"/>
        <v>496800000</v>
      </c>
      <c r="BW20" s="5"/>
      <c r="BX20" s="94">
        <f t="shared" si="28"/>
        <v>71732928626.408005</v>
      </c>
      <c r="BY20" s="97">
        <f t="shared" si="29"/>
        <v>183186229.07279807</v>
      </c>
      <c r="BZ20" s="89">
        <f t="shared" si="30"/>
        <v>0.78678720614153297</v>
      </c>
      <c r="CA20" s="86">
        <f t="shared" si="31"/>
        <v>33.39388343138296</v>
      </c>
      <c r="CB20" s="86">
        <f t="shared" si="32"/>
        <v>115.10611656861704</v>
      </c>
      <c r="CC20" s="46">
        <f t="shared" si="33"/>
        <v>4920</v>
      </c>
      <c r="CD20" s="76">
        <f t="shared" si="34"/>
        <v>0</v>
      </c>
      <c r="CE20" s="1"/>
      <c r="CF20" s="94">
        <f t="shared" si="35"/>
        <v>122335515702.66365</v>
      </c>
      <c r="CG20" s="97">
        <f t="shared" si="36"/>
        <v>312411360.19918287</v>
      </c>
      <c r="CH20" s="104">
        <f t="shared" si="37"/>
        <v>0.68392086900705418</v>
      </c>
      <c r="CI20" s="86">
        <f t="shared" si="38"/>
        <v>51.004615505125699</v>
      </c>
      <c r="CJ20" s="86">
        <f t="shared" si="39"/>
        <v>97.495384494874301</v>
      </c>
      <c r="CK20" s="97">
        <f t="shared" si="40"/>
        <v>5830343481022.5039</v>
      </c>
      <c r="CL20" s="93"/>
    </row>
    <row r="21" spans="1:90" ht="34.9" customHeight="1">
      <c r="A21" s="20"/>
      <c r="B21" s="200"/>
      <c r="C21" s="207"/>
      <c r="D21" s="32" t="s">
        <v>126</v>
      </c>
      <c r="E21" s="32" t="s">
        <v>118</v>
      </c>
      <c r="F21" s="35">
        <v>2019</v>
      </c>
      <c r="G21" s="1"/>
      <c r="H21" s="37" t="s">
        <v>149</v>
      </c>
      <c r="I21" s="32" t="str">
        <f t="shared" si="41"/>
        <v>Discrete</v>
      </c>
      <c r="J21" s="32" t="s">
        <v>70</v>
      </c>
      <c r="K21" s="32" t="s">
        <v>72</v>
      </c>
      <c r="L21" s="38" t="s">
        <v>124</v>
      </c>
      <c r="M21" s="38" t="s">
        <v>264</v>
      </c>
      <c r="N21" s="38" t="s">
        <v>268</v>
      </c>
      <c r="O21" s="38" t="s">
        <v>270</v>
      </c>
      <c r="P21" s="2"/>
      <c r="Q21" s="50">
        <f>4.65*10^3</f>
        <v>4650</v>
      </c>
      <c r="R21" s="54">
        <f t="shared" si="58"/>
        <v>4939.2968351198297</v>
      </c>
      <c r="S21" s="57">
        <v>513.484051990343</v>
      </c>
      <c r="T21" s="54">
        <f t="shared" si="1"/>
        <v>685.11263201575196</v>
      </c>
      <c r="U21" s="3" t="s">
        <v>75</v>
      </c>
      <c r="V21" s="28" t="s">
        <v>258</v>
      </c>
      <c r="W21" s="28">
        <v>3</v>
      </c>
      <c r="X21" s="28" t="s">
        <v>14</v>
      </c>
      <c r="Y21" s="32">
        <f t="shared" ref="Y21:Y26" si="69">57/3</f>
        <v>19</v>
      </c>
      <c r="Z21" s="32">
        <v>12000</v>
      </c>
      <c r="AA21" s="32">
        <v>690</v>
      </c>
      <c r="AB21" s="32">
        <v>19</v>
      </c>
      <c r="AC21" s="54">
        <f t="shared" ref="AC21:AC26" si="70">Z21/30</f>
        <v>400</v>
      </c>
      <c r="AD21" s="32">
        <f t="shared" si="67"/>
        <v>19</v>
      </c>
      <c r="AE21" s="32">
        <v>6400</v>
      </c>
      <c r="AF21" s="1"/>
      <c r="AG21" s="28" t="str">
        <f t="shared" si="68"/>
        <v>Glulam</v>
      </c>
      <c r="AH21" s="32" t="s">
        <v>26</v>
      </c>
      <c r="AI21" s="32">
        <v>240</v>
      </c>
      <c r="AJ21" s="32">
        <v>180</v>
      </c>
      <c r="AK21" s="32">
        <v>11500</v>
      </c>
      <c r="AL21" s="1"/>
      <c r="AM21" s="64" t="s">
        <v>243</v>
      </c>
      <c r="AN21" s="28">
        <v>45</v>
      </c>
      <c r="AO21" s="32">
        <v>120</v>
      </c>
      <c r="AP21" s="54">
        <f>2*3744</f>
        <v>7488</v>
      </c>
      <c r="AQ21" s="1"/>
      <c r="AR21" s="50">
        <f t="shared" ref="AR21:AR26" si="71">AS21</f>
        <v>910</v>
      </c>
      <c r="AS21" s="54">
        <f t="shared" si="66"/>
        <v>910</v>
      </c>
      <c r="AT21" s="54">
        <f t="shared" si="55"/>
        <v>2000</v>
      </c>
      <c r="AU21" s="1"/>
      <c r="AV21" s="78">
        <f t="shared" si="4"/>
        <v>0.14218749999999999</v>
      </c>
      <c r="AW21" s="81">
        <f t="shared" si="5"/>
        <v>0.14218749999999999</v>
      </c>
      <c r="AX21" s="84">
        <f t="shared" si="6"/>
        <v>18.068922855114465</v>
      </c>
      <c r="AY21" s="87">
        <f t="shared" si="7"/>
        <v>21.54882154882155</v>
      </c>
      <c r="AZ21" s="90">
        <f t="shared" si="8"/>
        <v>0.53</v>
      </c>
      <c r="BA21" s="32">
        <v>1.21</v>
      </c>
      <c r="BB21" s="32">
        <v>80</v>
      </c>
      <c r="BC21" s="54">
        <f t="shared" si="9"/>
        <v>25236.700807039408</v>
      </c>
      <c r="BD21" s="87">
        <f t="shared" si="10"/>
        <v>252.55631600787598</v>
      </c>
      <c r="BE21" s="87">
        <f t="shared" si="11"/>
        <v>252.55631600787598</v>
      </c>
      <c r="BF21" s="57">
        <f t="shared" si="12"/>
        <v>685.11263201575196</v>
      </c>
      <c r="BG21" s="4"/>
      <c r="BH21" s="8">
        <f t="shared" si="13"/>
        <v>2</v>
      </c>
      <c r="BI21" s="8">
        <f t="shared" si="14"/>
        <v>1</v>
      </c>
      <c r="BJ21" s="13">
        <f t="shared" si="15"/>
        <v>13946633.333333334</v>
      </c>
      <c r="BK21" s="12">
        <f t="shared" si="16"/>
        <v>57</v>
      </c>
      <c r="BL21" s="12">
        <f t="shared" si="48"/>
        <v>28.5</v>
      </c>
      <c r="BM21" s="12">
        <f t="shared" si="18"/>
        <v>9.5</v>
      </c>
      <c r="BN21" s="12">
        <f t="shared" si="19"/>
        <v>28.5</v>
      </c>
      <c r="BO21" s="12">
        <f t="shared" si="20"/>
        <v>47.5</v>
      </c>
      <c r="BP21" s="12">
        <f t="shared" si="21"/>
        <v>0</v>
      </c>
      <c r="BQ21" s="12">
        <f t="shared" si="22"/>
        <v>0</v>
      </c>
      <c r="BR21" s="92">
        <f t="shared" si="23"/>
        <v>164616000</v>
      </c>
      <c r="BS21" s="95">
        <f t="shared" si="49"/>
        <v>178562633.33333334</v>
      </c>
      <c r="BT21" s="98">
        <f t="shared" si="25"/>
        <v>2384640000000</v>
      </c>
      <c r="BU21" s="95">
        <f t="shared" si="26"/>
        <v>456000</v>
      </c>
      <c r="BV21" s="98">
        <f t="shared" si="27"/>
        <v>496800000</v>
      </c>
      <c r="BW21" s="5"/>
      <c r="BX21" s="95">
        <f t="shared" si="28"/>
        <v>91689064498.065887</v>
      </c>
      <c r="BY21" s="98">
        <f t="shared" si="29"/>
        <v>234148727.70759642</v>
      </c>
      <c r="BZ21" s="90">
        <f t="shared" si="30"/>
        <v>0.52516496478833508</v>
      </c>
      <c r="CA21" s="87">
        <f t="shared" si="31"/>
        <v>29.463596451660081</v>
      </c>
      <c r="CB21" s="87">
        <f t="shared" si="32"/>
        <v>119.03640354833992</v>
      </c>
      <c r="CC21" s="43">
        <f t="shared" si="33"/>
        <v>4649.9999999999982</v>
      </c>
      <c r="CD21" s="11">
        <f t="shared" si="34"/>
        <v>0</v>
      </c>
      <c r="CE21" s="1"/>
      <c r="CF21" s="95">
        <f t="shared" si="35"/>
        <v>122335515702.66365</v>
      </c>
      <c r="CG21" s="98">
        <f t="shared" si="36"/>
        <v>312411360.19918287</v>
      </c>
      <c r="CH21" s="105">
        <f t="shared" si="37"/>
        <v>0.45323228448692082</v>
      </c>
      <c r="CI21" s="87">
        <f t="shared" si="38"/>
        <v>34.874798604938242</v>
      </c>
      <c r="CJ21" s="87">
        <f t="shared" si="39"/>
        <v>113.62520139506177</v>
      </c>
      <c r="CK21" s="98">
        <f t="shared" si="40"/>
        <v>4939296835119.8301</v>
      </c>
      <c r="CL21" s="93"/>
    </row>
    <row r="22" spans="1:90" ht="34.9" customHeight="1">
      <c r="A22" s="20"/>
      <c r="B22" s="200"/>
      <c r="C22" s="207"/>
      <c r="D22" s="32" t="s">
        <v>126</v>
      </c>
      <c r="E22" s="32" t="s">
        <v>119</v>
      </c>
      <c r="F22" s="35">
        <v>2019</v>
      </c>
      <c r="G22" s="1"/>
      <c r="H22" s="37" t="s">
        <v>149</v>
      </c>
      <c r="I22" s="32" t="str">
        <f t="shared" si="41"/>
        <v>Discrete</v>
      </c>
      <c r="J22" s="32" t="s">
        <v>70</v>
      </c>
      <c r="K22" s="32" t="s">
        <v>30</v>
      </c>
      <c r="L22" s="38" t="s">
        <v>124</v>
      </c>
      <c r="M22" s="38" t="s">
        <v>264</v>
      </c>
      <c r="N22" s="38" t="s">
        <v>268</v>
      </c>
      <c r="O22" s="38" t="s">
        <v>270</v>
      </c>
      <c r="P22" s="2"/>
      <c r="Q22" s="50">
        <f>3.85*10^3</f>
        <v>3850</v>
      </c>
      <c r="R22" s="54">
        <f t="shared" si="58"/>
        <v>3783.7619819936212</v>
      </c>
      <c r="S22" s="57">
        <v>663.43970943822296</v>
      </c>
      <c r="T22" s="54">
        <f t="shared" si="1"/>
        <v>629.3757291125346</v>
      </c>
      <c r="U22" s="3" t="s">
        <v>75</v>
      </c>
      <c r="V22" s="28" t="s">
        <v>258</v>
      </c>
      <c r="W22" s="28">
        <v>3</v>
      </c>
      <c r="X22" s="28" t="s">
        <v>14</v>
      </c>
      <c r="Y22" s="32">
        <f t="shared" si="69"/>
        <v>19</v>
      </c>
      <c r="Z22" s="32">
        <v>12000</v>
      </c>
      <c r="AA22" s="32">
        <v>690</v>
      </c>
      <c r="AB22" s="32">
        <v>19</v>
      </c>
      <c r="AC22" s="54">
        <f t="shared" si="70"/>
        <v>400</v>
      </c>
      <c r="AD22" s="32">
        <f t="shared" si="67"/>
        <v>19</v>
      </c>
      <c r="AE22" s="32">
        <v>6400</v>
      </c>
      <c r="AF22" s="1"/>
      <c r="AG22" s="28" t="str">
        <f t="shared" si="68"/>
        <v>LVL</v>
      </c>
      <c r="AH22" s="32" t="s">
        <v>125</v>
      </c>
      <c r="AI22" s="32">
        <v>200</v>
      </c>
      <c r="AJ22" s="32">
        <v>120</v>
      </c>
      <c r="AK22" s="32">
        <v>16700</v>
      </c>
      <c r="AL22" s="1"/>
      <c r="AM22" s="64" t="s">
        <v>244</v>
      </c>
      <c r="AN22" s="28">
        <v>45</v>
      </c>
      <c r="AO22" s="32">
        <v>120</v>
      </c>
      <c r="AP22" s="54">
        <f>2*13234</f>
        <v>26468</v>
      </c>
      <c r="AQ22" s="1"/>
      <c r="AR22" s="50">
        <f t="shared" si="71"/>
        <v>940</v>
      </c>
      <c r="AS22" s="54">
        <f t="shared" si="66"/>
        <v>940</v>
      </c>
      <c r="AT22" s="54">
        <f t="shared" si="55"/>
        <v>2000</v>
      </c>
      <c r="AU22" s="1"/>
      <c r="AV22" s="78">
        <f t="shared" si="4"/>
        <v>0.14687500000000001</v>
      </c>
      <c r="AW22" s="81">
        <f t="shared" si="5"/>
        <v>0.14687500000000001</v>
      </c>
      <c r="AX22" s="84">
        <f t="shared" si="6"/>
        <v>18.068922855114465</v>
      </c>
      <c r="AY22" s="87">
        <f t="shared" si="7"/>
        <v>24.902723735408561</v>
      </c>
      <c r="AZ22" s="90">
        <f t="shared" si="8"/>
        <v>0.53</v>
      </c>
      <c r="BA22" s="32">
        <v>1.21</v>
      </c>
      <c r="BB22" s="32">
        <v>80</v>
      </c>
      <c r="BC22" s="54">
        <f t="shared" si="9"/>
        <v>25236.700807039408</v>
      </c>
      <c r="BD22" s="87">
        <f t="shared" si="10"/>
        <v>254.6878645562673</v>
      </c>
      <c r="BE22" s="87">
        <f t="shared" si="11"/>
        <v>254.6878645562673</v>
      </c>
      <c r="BF22" s="57">
        <f t="shared" si="12"/>
        <v>629.3757291125346</v>
      </c>
      <c r="BG22" s="4"/>
      <c r="BH22" s="8">
        <f t="shared" si="13"/>
        <v>2</v>
      </c>
      <c r="BI22" s="8">
        <f t="shared" si="14"/>
        <v>1</v>
      </c>
      <c r="BJ22" s="13">
        <f t="shared" si="15"/>
        <v>13946633.333333334</v>
      </c>
      <c r="BK22" s="12">
        <f t="shared" si="16"/>
        <v>57</v>
      </c>
      <c r="BL22" s="12">
        <f t="shared" si="48"/>
        <v>28.5</v>
      </c>
      <c r="BM22" s="12">
        <f t="shared" si="18"/>
        <v>9.5</v>
      </c>
      <c r="BN22" s="12">
        <f t="shared" si="19"/>
        <v>28.5</v>
      </c>
      <c r="BO22" s="12">
        <f t="shared" si="20"/>
        <v>47.5</v>
      </c>
      <c r="BP22" s="12">
        <f t="shared" si="21"/>
        <v>0</v>
      </c>
      <c r="BQ22" s="12">
        <f t="shared" si="22"/>
        <v>0</v>
      </c>
      <c r="BR22" s="92">
        <f t="shared" si="23"/>
        <v>164616000</v>
      </c>
      <c r="BS22" s="95">
        <f t="shared" si="49"/>
        <v>178562633.33333334</v>
      </c>
      <c r="BT22" s="98">
        <f t="shared" si="25"/>
        <v>1336000000000</v>
      </c>
      <c r="BU22" s="95">
        <f t="shared" si="26"/>
        <v>456000</v>
      </c>
      <c r="BV22" s="98">
        <f t="shared" si="27"/>
        <v>400800000</v>
      </c>
      <c r="BW22" s="5"/>
      <c r="BX22" s="95">
        <f t="shared" si="28"/>
        <v>118465541575.19061</v>
      </c>
      <c r="BY22" s="98">
        <f t="shared" si="29"/>
        <v>302528507.50382966</v>
      </c>
      <c r="BZ22" s="90">
        <f t="shared" si="30"/>
        <v>0.75159939718888791</v>
      </c>
      <c r="CA22" s="87">
        <f t="shared" si="31"/>
        <v>46.512703356415763</v>
      </c>
      <c r="CB22" s="87">
        <f t="shared" si="32"/>
        <v>81.987296643584244</v>
      </c>
      <c r="CC22" s="43">
        <f t="shared" si="33"/>
        <v>3850.0000000000009</v>
      </c>
      <c r="CD22" s="11">
        <f t="shared" si="34"/>
        <v>0</v>
      </c>
      <c r="CE22" s="1"/>
      <c r="CF22" s="95">
        <f t="shared" si="35"/>
        <v>112382987546.42085</v>
      </c>
      <c r="CG22" s="98">
        <f t="shared" si="36"/>
        <v>286995332.47531575</v>
      </c>
      <c r="CH22" s="105">
        <f t="shared" si="37"/>
        <v>0.76130913759363539</v>
      </c>
      <c r="CI22" s="87">
        <f t="shared" si="38"/>
        <v>44.486540246773814</v>
      </c>
      <c r="CJ22" s="87">
        <f t="shared" si="39"/>
        <v>84.013459753226186</v>
      </c>
      <c r="CK22" s="98">
        <f t="shared" si="40"/>
        <v>3783761981993.6211</v>
      </c>
      <c r="CL22" s="93"/>
    </row>
    <row r="23" spans="1:90" ht="34.9" customHeight="1">
      <c r="A23" s="20"/>
      <c r="B23" s="200"/>
      <c r="C23" s="207"/>
      <c r="D23" s="32" t="s">
        <v>126</v>
      </c>
      <c r="E23" s="32" t="s">
        <v>120</v>
      </c>
      <c r="F23" s="35">
        <v>2019</v>
      </c>
      <c r="G23" s="1"/>
      <c r="H23" s="37" t="s">
        <v>149</v>
      </c>
      <c r="I23" s="32" t="str">
        <f t="shared" si="41"/>
        <v>Discrete</v>
      </c>
      <c r="J23" s="32" t="s">
        <v>70</v>
      </c>
      <c r="K23" s="32" t="s">
        <v>30</v>
      </c>
      <c r="L23" s="38" t="s">
        <v>124</v>
      </c>
      <c r="M23" s="38" t="s">
        <v>264</v>
      </c>
      <c r="N23" s="38" t="s">
        <v>268</v>
      </c>
      <c r="O23" s="38" t="s">
        <v>270</v>
      </c>
      <c r="P23" s="2"/>
      <c r="Q23" s="50">
        <f>3.66*10^3</f>
        <v>3660</v>
      </c>
      <c r="R23" s="54">
        <f t="shared" si="58"/>
        <v>5134.3413512570496</v>
      </c>
      <c r="S23" s="57">
        <v>183.48712308456027</v>
      </c>
      <c r="T23" s="54">
        <f t="shared" si="1"/>
        <v>629.3757291125346</v>
      </c>
      <c r="U23" s="3" t="s">
        <v>75</v>
      </c>
      <c r="V23" s="28" t="s">
        <v>258</v>
      </c>
      <c r="W23" s="28">
        <v>3</v>
      </c>
      <c r="X23" s="28" t="s">
        <v>14</v>
      </c>
      <c r="Y23" s="32">
        <f t="shared" si="69"/>
        <v>19</v>
      </c>
      <c r="Z23" s="32">
        <v>12000</v>
      </c>
      <c r="AA23" s="32">
        <v>690</v>
      </c>
      <c r="AB23" s="32">
        <v>19</v>
      </c>
      <c r="AC23" s="54">
        <f t="shared" si="70"/>
        <v>400</v>
      </c>
      <c r="AD23" s="32">
        <f t="shared" si="67"/>
        <v>19</v>
      </c>
      <c r="AE23" s="32">
        <v>6400</v>
      </c>
      <c r="AF23" s="1"/>
      <c r="AG23" s="28" t="str">
        <f t="shared" si="68"/>
        <v>LVL</v>
      </c>
      <c r="AH23" s="32" t="s">
        <v>125</v>
      </c>
      <c r="AI23" s="32">
        <v>240</v>
      </c>
      <c r="AJ23" s="32">
        <v>120</v>
      </c>
      <c r="AK23" s="32">
        <v>16700</v>
      </c>
      <c r="AL23" s="1"/>
      <c r="AM23" s="64" t="s">
        <v>243</v>
      </c>
      <c r="AN23" s="28">
        <v>45</v>
      </c>
      <c r="AO23" s="32">
        <v>120</v>
      </c>
      <c r="AP23" s="54">
        <f>2*5369</f>
        <v>10738</v>
      </c>
      <c r="AQ23" s="1"/>
      <c r="AR23" s="50">
        <f t="shared" si="71"/>
        <v>940</v>
      </c>
      <c r="AS23" s="54">
        <f t="shared" si="66"/>
        <v>940</v>
      </c>
      <c r="AT23" s="54">
        <f t="shared" si="55"/>
        <v>2000</v>
      </c>
      <c r="AU23" s="1"/>
      <c r="AV23" s="78">
        <f t="shared" si="4"/>
        <v>0.14687500000000001</v>
      </c>
      <c r="AW23" s="81">
        <f t="shared" si="5"/>
        <v>0.14687500000000001</v>
      </c>
      <c r="AX23" s="84">
        <f>BU23/BC23</f>
        <v>18.068922855114465</v>
      </c>
      <c r="AY23" s="87">
        <f t="shared" si="7"/>
        <v>21.54882154882155</v>
      </c>
      <c r="AZ23" s="90">
        <f t="shared" si="8"/>
        <v>0.53</v>
      </c>
      <c r="BA23" s="32">
        <v>1.21</v>
      </c>
      <c r="BB23" s="32">
        <v>80</v>
      </c>
      <c r="BC23" s="54">
        <f t="shared" si="9"/>
        <v>25236.700807039408</v>
      </c>
      <c r="BD23" s="87">
        <f t="shared" si="10"/>
        <v>254.6878645562673</v>
      </c>
      <c r="BE23" s="87">
        <f t="shared" si="11"/>
        <v>254.6878645562673</v>
      </c>
      <c r="BF23" s="57">
        <f t="shared" si="12"/>
        <v>629.3757291125346</v>
      </c>
      <c r="BG23" s="4"/>
      <c r="BH23" s="8">
        <f t="shared" si="13"/>
        <v>2</v>
      </c>
      <c r="BI23" s="8">
        <f t="shared" si="14"/>
        <v>1</v>
      </c>
      <c r="BJ23" s="13">
        <f t="shared" si="15"/>
        <v>13946633.333333334</v>
      </c>
      <c r="BK23" s="12">
        <f t="shared" si="16"/>
        <v>57</v>
      </c>
      <c r="BL23" s="12">
        <f t="shared" si="48"/>
        <v>28.5</v>
      </c>
      <c r="BM23" s="12">
        <f t="shared" si="18"/>
        <v>9.5</v>
      </c>
      <c r="BN23" s="12">
        <f t="shared" si="19"/>
        <v>28.5</v>
      </c>
      <c r="BO23" s="12">
        <f t="shared" si="20"/>
        <v>47.5</v>
      </c>
      <c r="BP23" s="12">
        <f t="shared" si="21"/>
        <v>0</v>
      </c>
      <c r="BQ23" s="12">
        <f t="shared" si="22"/>
        <v>0</v>
      </c>
      <c r="BR23" s="92">
        <f t="shared" si="23"/>
        <v>164616000</v>
      </c>
      <c r="BS23" s="95">
        <f t="shared" si="49"/>
        <v>178562633.33333334</v>
      </c>
      <c r="BT23" s="98">
        <f t="shared" si="25"/>
        <v>2308608000000</v>
      </c>
      <c r="BU23" s="95">
        <f t="shared" si="26"/>
        <v>456000</v>
      </c>
      <c r="BV23" s="98">
        <f t="shared" si="27"/>
        <v>480960000</v>
      </c>
      <c r="BW23" s="5"/>
      <c r="BX23" s="95">
        <f t="shared" si="28"/>
        <v>32763943880.736538</v>
      </c>
      <c r="BY23" s="98">
        <f t="shared" si="29"/>
        <v>83670128.126559481</v>
      </c>
      <c r="BZ23" s="90">
        <f t="shared" si="30"/>
        <v>0.81612428344000731</v>
      </c>
      <c r="CA23" s="87">
        <f t="shared" si="31"/>
        <v>18.462346576757589</v>
      </c>
      <c r="CB23" s="87">
        <f t="shared" si="32"/>
        <v>130.0376534232424</v>
      </c>
      <c r="CC23" s="43">
        <f t="shared" si="33"/>
        <v>3660</v>
      </c>
      <c r="CD23" s="11">
        <f t="shared" si="34"/>
        <v>0</v>
      </c>
      <c r="CE23" s="1"/>
      <c r="CF23" s="95">
        <f t="shared" si="35"/>
        <v>112382987546.42085</v>
      </c>
      <c r="CG23" s="98">
        <f t="shared" si="36"/>
        <v>286995332.47531575</v>
      </c>
      <c r="CH23" s="105">
        <f t="shared" si="37"/>
        <v>0.56407638526542347</v>
      </c>
      <c r="CI23" s="87">
        <f t="shared" si="38"/>
        <v>45.517322331043943</v>
      </c>
      <c r="CJ23" s="87">
        <f t="shared" si="39"/>
        <v>102.98267766895606</v>
      </c>
      <c r="CK23" s="98">
        <f t="shared" si="40"/>
        <v>5134341351257.0498</v>
      </c>
      <c r="CL23" s="93"/>
    </row>
    <row r="24" spans="1:90" ht="34.9" customHeight="1">
      <c r="A24" s="20"/>
      <c r="B24" s="200"/>
      <c r="C24" s="207"/>
      <c r="D24" s="32" t="s">
        <v>126</v>
      </c>
      <c r="E24" s="32" t="s">
        <v>121</v>
      </c>
      <c r="F24" s="35">
        <v>2019</v>
      </c>
      <c r="G24" s="1"/>
      <c r="H24" s="37" t="s">
        <v>149</v>
      </c>
      <c r="I24" s="32" t="str">
        <f t="shared" si="41"/>
        <v>Discrete</v>
      </c>
      <c r="J24" s="32" t="s">
        <v>70</v>
      </c>
      <c r="K24" s="32" t="s">
        <v>30</v>
      </c>
      <c r="L24" s="38" t="s">
        <v>124</v>
      </c>
      <c r="M24" s="38" t="s">
        <v>264</v>
      </c>
      <c r="N24" s="38" t="s">
        <v>268</v>
      </c>
      <c r="O24" s="38" t="s">
        <v>270</v>
      </c>
      <c r="P24" s="2"/>
      <c r="Q24" s="50">
        <f>6.95*10^3</f>
        <v>6950</v>
      </c>
      <c r="R24" s="54">
        <f t="shared" si="58"/>
        <v>6908.744486132875</v>
      </c>
      <c r="S24" s="57">
        <v>679.37950807974198</v>
      </c>
      <c r="T24" s="54">
        <f t="shared" si="1"/>
        <v>666.61715101102266</v>
      </c>
      <c r="U24" s="3" t="s">
        <v>75</v>
      </c>
      <c r="V24" s="28" t="s">
        <v>258</v>
      </c>
      <c r="W24" s="28">
        <v>3</v>
      </c>
      <c r="X24" s="28" t="s">
        <v>14</v>
      </c>
      <c r="Y24" s="32">
        <f t="shared" si="69"/>
        <v>19</v>
      </c>
      <c r="Z24" s="32">
        <v>12000</v>
      </c>
      <c r="AA24" s="32">
        <v>690</v>
      </c>
      <c r="AB24" s="32">
        <v>19</v>
      </c>
      <c r="AC24" s="54">
        <f t="shared" si="70"/>
        <v>400</v>
      </c>
      <c r="AD24" s="32">
        <f t="shared" si="67"/>
        <v>19</v>
      </c>
      <c r="AE24" s="32">
        <v>6400</v>
      </c>
      <c r="AF24" s="1"/>
      <c r="AG24" s="28" t="str">
        <f t="shared" si="68"/>
        <v>LVL</v>
      </c>
      <c r="AH24" s="32" t="s">
        <v>125</v>
      </c>
      <c r="AI24" s="32">
        <v>240</v>
      </c>
      <c r="AJ24" s="32">
        <v>160</v>
      </c>
      <c r="AK24" s="32">
        <v>16700</v>
      </c>
      <c r="AL24" s="1"/>
      <c r="AM24" s="64" t="s">
        <v>244</v>
      </c>
      <c r="AN24" s="28">
        <v>45</v>
      </c>
      <c r="AO24" s="32">
        <v>120</v>
      </c>
      <c r="AP24" s="54">
        <f>2*13234</f>
        <v>26468</v>
      </c>
      <c r="AQ24" s="1"/>
      <c r="AR24" s="50">
        <f t="shared" si="71"/>
        <v>920</v>
      </c>
      <c r="AS24" s="54">
        <f t="shared" si="66"/>
        <v>920</v>
      </c>
      <c r="AT24" s="54">
        <f t="shared" si="55"/>
        <v>2000</v>
      </c>
      <c r="AU24" s="1"/>
      <c r="AV24" s="78">
        <f t="shared" si="4"/>
        <v>0.14374999999999999</v>
      </c>
      <c r="AW24" s="81">
        <f t="shared" si="5"/>
        <v>0.14374999999999999</v>
      </c>
      <c r="AX24" s="84">
        <f t="shared" si="6"/>
        <v>18.068922855114465</v>
      </c>
      <c r="AY24" s="87">
        <f t="shared" si="7"/>
        <v>21.54882154882155</v>
      </c>
      <c r="AZ24" s="90">
        <f t="shared" si="8"/>
        <v>0.53</v>
      </c>
      <c r="BA24" s="32">
        <v>1.21</v>
      </c>
      <c r="BB24" s="32">
        <v>80</v>
      </c>
      <c r="BC24" s="54">
        <f t="shared" si="9"/>
        <v>25236.700807039408</v>
      </c>
      <c r="BD24" s="87">
        <f t="shared" si="10"/>
        <v>253.30857550551133</v>
      </c>
      <c r="BE24" s="87">
        <f t="shared" si="11"/>
        <v>253.30857550551133</v>
      </c>
      <c r="BF24" s="57">
        <f t="shared" si="12"/>
        <v>666.61715101102266</v>
      </c>
      <c r="BG24" s="4"/>
      <c r="BH24" s="8">
        <f t="shared" si="13"/>
        <v>2</v>
      </c>
      <c r="BI24" s="8">
        <f t="shared" si="14"/>
        <v>1</v>
      </c>
      <c r="BJ24" s="13">
        <f t="shared" si="15"/>
        <v>13946633.333333334</v>
      </c>
      <c r="BK24" s="12">
        <f t="shared" si="16"/>
        <v>57</v>
      </c>
      <c r="BL24" s="12">
        <f t="shared" si="48"/>
        <v>28.5</v>
      </c>
      <c r="BM24" s="12">
        <f t="shared" si="18"/>
        <v>9.5</v>
      </c>
      <c r="BN24" s="12">
        <f t="shared" si="19"/>
        <v>28.5</v>
      </c>
      <c r="BO24" s="12">
        <f t="shared" si="20"/>
        <v>47.5</v>
      </c>
      <c r="BP24" s="12">
        <f t="shared" si="21"/>
        <v>0</v>
      </c>
      <c r="BQ24" s="12">
        <f t="shared" si="22"/>
        <v>0</v>
      </c>
      <c r="BR24" s="92">
        <f t="shared" si="23"/>
        <v>164616000</v>
      </c>
      <c r="BS24" s="95">
        <f t="shared" si="49"/>
        <v>178562633.33333334</v>
      </c>
      <c r="BT24" s="98">
        <f t="shared" si="25"/>
        <v>3078144000000</v>
      </c>
      <c r="BU24" s="95">
        <f t="shared" si="26"/>
        <v>456000</v>
      </c>
      <c r="BV24" s="98">
        <f t="shared" si="27"/>
        <v>641280000</v>
      </c>
      <c r="BW24" s="5"/>
      <c r="BX24" s="95">
        <f t="shared" si="28"/>
        <v>121311793995.42334</v>
      </c>
      <c r="BY24" s="98">
        <f t="shared" si="29"/>
        <v>309797055.68436235</v>
      </c>
      <c r="BZ24" s="90">
        <f t="shared" si="30"/>
        <v>0.74714040983693086</v>
      </c>
      <c r="CA24" s="87">
        <f t="shared" si="31"/>
        <v>39.384028722905313</v>
      </c>
      <c r="CB24" s="87">
        <f t="shared" si="32"/>
        <v>109.11597127709469</v>
      </c>
      <c r="CC24" s="43">
        <f t="shared" si="33"/>
        <v>6949.9999999999945</v>
      </c>
      <c r="CD24" s="11">
        <f t="shared" si="34"/>
        <v>0</v>
      </c>
      <c r="CE24" s="1"/>
      <c r="CF24" s="95">
        <f t="shared" si="35"/>
        <v>119032913909.69254</v>
      </c>
      <c r="CG24" s="98">
        <f t="shared" si="36"/>
        <v>303977420.86102635</v>
      </c>
      <c r="CH24" s="105">
        <f t="shared" si="37"/>
        <v>0.75070629980518766</v>
      </c>
      <c r="CI24" s="87">
        <f t="shared" si="38"/>
        <v>38.779538680710537</v>
      </c>
      <c r="CJ24" s="87">
        <f t="shared" si="39"/>
        <v>109.72046131928946</v>
      </c>
      <c r="CK24" s="98">
        <f t="shared" si="40"/>
        <v>6908744486132.875</v>
      </c>
      <c r="CL24" s="93"/>
    </row>
    <row r="25" spans="1:90" ht="34.9" customHeight="1">
      <c r="A25" s="20"/>
      <c r="B25" s="200"/>
      <c r="C25" s="207"/>
      <c r="D25" s="32" t="s">
        <v>126</v>
      </c>
      <c r="E25" s="32" t="s">
        <v>122</v>
      </c>
      <c r="F25" s="35">
        <v>2019</v>
      </c>
      <c r="G25" s="1"/>
      <c r="H25" s="37" t="s">
        <v>149</v>
      </c>
      <c r="I25" s="32" t="str">
        <f t="shared" si="41"/>
        <v>Discrete</v>
      </c>
      <c r="J25" s="32" t="s">
        <v>70</v>
      </c>
      <c r="K25" s="32" t="s">
        <v>30</v>
      </c>
      <c r="L25" s="38" t="s">
        <v>124</v>
      </c>
      <c r="M25" s="38" t="s">
        <v>264</v>
      </c>
      <c r="N25" s="38" t="s">
        <v>268</v>
      </c>
      <c r="O25" s="38" t="s">
        <v>270</v>
      </c>
      <c r="P25" s="2"/>
      <c r="Q25" s="50">
        <f>6.32*10^3</f>
        <v>6320</v>
      </c>
      <c r="R25" s="54">
        <f t="shared" si="58"/>
        <v>6121.8816693667804</v>
      </c>
      <c r="S25" s="57">
        <v>769.15809393560323</v>
      </c>
      <c r="T25" s="54">
        <f t="shared" si="1"/>
        <v>666.61715101102266</v>
      </c>
      <c r="U25" s="3" t="s">
        <v>75</v>
      </c>
      <c r="V25" s="28" t="s">
        <v>258</v>
      </c>
      <c r="W25" s="28">
        <v>3</v>
      </c>
      <c r="X25" s="28" t="s">
        <v>14</v>
      </c>
      <c r="Y25" s="32">
        <f t="shared" si="69"/>
        <v>19</v>
      </c>
      <c r="Z25" s="32">
        <v>12000</v>
      </c>
      <c r="AA25" s="32">
        <v>690</v>
      </c>
      <c r="AB25" s="32">
        <v>19</v>
      </c>
      <c r="AC25" s="54">
        <f t="shared" si="70"/>
        <v>400</v>
      </c>
      <c r="AD25" s="32">
        <f t="shared" si="67"/>
        <v>19</v>
      </c>
      <c r="AE25" s="32">
        <v>6400</v>
      </c>
      <c r="AF25" s="1"/>
      <c r="AG25" s="28" t="str">
        <f t="shared" si="68"/>
        <v>LVL</v>
      </c>
      <c r="AH25" s="32" t="s">
        <v>125</v>
      </c>
      <c r="AI25" s="32">
        <v>240</v>
      </c>
      <c r="AJ25" s="32">
        <v>160</v>
      </c>
      <c r="AK25" s="32">
        <v>16700</v>
      </c>
      <c r="AL25" s="1"/>
      <c r="AM25" s="64" t="s">
        <v>243</v>
      </c>
      <c r="AN25" s="28">
        <v>45</v>
      </c>
      <c r="AO25" s="32">
        <v>120</v>
      </c>
      <c r="AP25" s="54">
        <f>2*5369</f>
        <v>10738</v>
      </c>
      <c r="AQ25" s="1"/>
      <c r="AR25" s="50">
        <f t="shared" si="71"/>
        <v>920</v>
      </c>
      <c r="AS25" s="54">
        <f t="shared" si="66"/>
        <v>920</v>
      </c>
      <c r="AT25" s="54">
        <f t="shared" si="55"/>
        <v>2000</v>
      </c>
      <c r="AU25" s="1"/>
      <c r="AV25" s="78">
        <f t="shared" si="4"/>
        <v>0.14374999999999999</v>
      </c>
      <c r="AW25" s="81">
        <f t="shared" si="5"/>
        <v>0.14374999999999999</v>
      </c>
      <c r="AX25" s="84">
        <f t="shared" si="6"/>
        <v>18.068922855114465</v>
      </c>
      <c r="AY25" s="87">
        <f t="shared" si="7"/>
        <v>21.54882154882155</v>
      </c>
      <c r="AZ25" s="90">
        <f t="shared" si="8"/>
        <v>0.53</v>
      </c>
      <c r="BA25" s="32">
        <v>1.21</v>
      </c>
      <c r="BB25" s="32">
        <v>80</v>
      </c>
      <c r="BC25" s="54">
        <f t="shared" si="9"/>
        <v>25236.700807039408</v>
      </c>
      <c r="BD25" s="87">
        <f t="shared" si="10"/>
        <v>253.30857550551133</v>
      </c>
      <c r="BE25" s="87">
        <f t="shared" si="11"/>
        <v>253.30857550551133</v>
      </c>
      <c r="BF25" s="57">
        <f t="shared" si="12"/>
        <v>666.61715101102266</v>
      </c>
      <c r="BG25" s="4"/>
      <c r="BH25" s="8">
        <f t="shared" si="13"/>
        <v>2</v>
      </c>
      <c r="BI25" s="8">
        <f t="shared" si="14"/>
        <v>1</v>
      </c>
      <c r="BJ25" s="13">
        <f t="shared" si="15"/>
        <v>13946633.333333334</v>
      </c>
      <c r="BK25" s="12">
        <f t="shared" si="16"/>
        <v>57</v>
      </c>
      <c r="BL25" s="12">
        <f t="shared" si="48"/>
        <v>28.5</v>
      </c>
      <c r="BM25" s="12">
        <f t="shared" si="18"/>
        <v>9.5</v>
      </c>
      <c r="BN25" s="12">
        <f t="shared" si="19"/>
        <v>28.5</v>
      </c>
      <c r="BO25" s="12">
        <f t="shared" si="20"/>
        <v>47.5</v>
      </c>
      <c r="BP25" s="12">
        <f t="shared" si="21"/>
        <v>0</v>
      </c>
      <c r="BQ25" s="12">
        <f t="shared" si="22"/>
        <v>0</v>
      </c>
      <c r="BR25" s="92">
        <f t="shared" si="23"/>
        <v>164616000</v>
      </c>
      <c r="BS25" s="95">
        <f t="shared" si="49"/>
        <v>178562633.33333334</v>
      </c>
      <c r="BT25" s="98">
        <f t="shared" si="25"/>
        <v>3078144000000</v>
      </c>
      <c r="BU25" s="95">
        <f t="shared" si="26"/>
        <v>456000</v>
      </c>
      <c r="BV25" s="98">
        <f t="shared" si="27"/>
        <v>641280000</v>
      </c>
      <c r="BW25" s="5"/>
      <c r="BX25" s="95">
        <f t="shared" si="28"/>
        <v>137342894702.78868</v>
      </c>
      <c r="BY25" s="98">
        <f t="shared" si="29"/>
        <v>350736090.83463508</v>
      </c>
      <c r="BZ25" s="90">
        <f t="shared" si="30"/>
        <v>0.51428474525063328</v>
      </c>
      <c r="CA25" s="87">
        <f t="shared" si="31"/>
        <v>32.600131232665284</v>
      </c>
      <c r="CB25" s="87">
        <f t="shared" si="32"/>
        <v>115.89986876733471</v>
      </c>
      <c r="CC25" s="43">
        <f t="shared" si="33"/>
        <v>6320.0000000000018</v>
      </c>
      <c r="CD25" s="11">
        <f t="shared" si="34"/>
        <v>0</v>
      </c>
      <c r="CE25" s="1"/>
      <c r="CF25" s="95">
        <f t="shared" si="35"/>
        <v>119032913909.69254</v>
      </c>
      <c r="CG25" s="98">
        <f t="shared" si="36"/>
        <v>303977420.86102635</v>
      </c>
      <c r="CH25" s="105">
        <f t="shared" si="37"/>
        <v>0.54989220561444541</v>
      </c>
      <c r="CI25" s="87">
        <f t="shared" si="38"/>
        <v>29.757930764595464</v>
      </c>
      <c r="CJ25" s="87">
        <f t="shared" si="39"/>
        <v>118.74206923540453</v>
      </c>
      <c r="CK25" s="98">
        <f t="shared" si="40"/>
        <v>6121881669366.7803</v>
      </c>
      <c r="CL25" s="93"/>
    </row>
    <row r="26" spans="1:90" ht="34.9" customHeight="1">
      <c r="A26" s="20"/>
      <c r="B26" s="200"/>
      <c r="C26" s="208"/>
      <c r="D26" s="36" t="s">
        <v>126</v>
      </c>
      <c r="E26" s="36" t="s">
        <v>123</v>
      </c>
      <c r="F26" s="121">
        <v>2019</v>
      </c>
      <c r="G26" s="1"/>
      <c r="H26" s="114" t="s">
        <v>149</v>
      </c>
      <c r="I26" s="36" t="str">
        <f t="shared" si="41"/>
        <v>Discrete</v>
      </c>
      <c r="J26" s="36" t="s">
        <v>70</v>
      </c>
      <c r="K26" s="36" t="s">
        <v>30</v>
      </c>
      <c r="L26" s="39" t="s">
        <v>124</v>
      </c>
      <c r="M26" s="39" t="s">
        <v>264</v>
      </c>
      <c r="N26" s="39" t="s">
        <v>268</v>
      </c>
      <c r="O26" s="39" t="s">
        <v>270</v>
      </c>
      <c r="P26" s="2"/>
      <c r="Q26" s="51">
        <f>6.71*10^3</f>
        <v>6710</v>
      </c>
      <c r="R26" s="55">
        <f t="shared" si="58"/>
        <v>4319.9540814263964</v>
      </c>
      <c r="S26" s="58">
        <v>10490.594512818767</v>
      </c>
      <c r="T26" s="55">
        <f t="shared" si="1"/>
        <v>308.60032751561226</v>
      </c>
      <c r="U26" s="3" t="s">
        <v>75</v>
      </c>
      <c r="V26" s="29" t="s">
        <v>258</v>
      </c>
      <c r="W26" s="29">
        <v>3</v>
      </c>
      <c r="X26" s="29" t="s">
        <v>14</v>
      </c>
      <c r="Y26" s="36">
        <f t="shared" si="69"/>
        <v>19</v>
      </c>
      <c r="Z26" s="36">
        <v>12000</v>
      </c>
      <c r="AA26" s="36">
        <v>690</v>
      </c>
      <c r="AB26" s="36">
        <v>19</v>
      </c>
      <c r="AC26" s="55">
        <f t="shared" si="70"/>
        <v>400</v>
      </c>
      <c r="AD26" s="36">
        <f t="shared" si="67"/>
        <v>19</v>
      </c>
      <c r="AE26" s="36">
        <v>3200</v>
      </c>
      <c r="AF26" s="1"/>
      <c r="AG26" s="29" t="str">
        <f t="shared" si="68"/>
        <v>LVL</v>
      </c>
      <c r="AH26" s="36" t="s">
        <v>125</v>
      </c>
      <c r="AI26" s="36">
        <v>240</v>
      </c>
      <c r="AJ26" s="36">
        <v>160</v>
      </c>
      <c r="AK26" s="36">
        <v>16700</v>
      </c>
      <c r="AL26" s="1"/>
      <c r="AM26" s="66" t="s">
        <v>243</v>
      </c>
      <c r="AN26" s="29">
        <v>45</v>
      </c>
      <c r="AO26" s="36">
        <v>120</v>
      </c>
      <c r="AP26" s="55">
        <f>2*5369</f>
        <v>10738</v>
      </c>
      <c r="AQ26" s="1"/>
      <c r="AR26" s="51">
        <f t="shared" si="71"/>
        <v>920</v>
      </c>
      <c r="AS26" s="55">
        <f t="shared" si="66"/>
        <v>920</v>
      </c>
      <c r="AT26" s="55">
        <f t="shared" si="55"/>
        <v>2000</v>
      </c>
      <c r="AU26" s="1"/>
      <c r="AV26" s="79">
        <f t="shared" si="4"/>
        <v>0.28749999999999998</v>
      </c>
      <c r="AW26" s="82">
        <f t="shared" si="5"/>
        <v>0.28749999999999998</v>
      </c>
      <c r="AX26" s="85">
        <f t="shared" si="6"/>
        <v>18.068922855114465</v>
      </c>
      <c r="AY26" s="88">
        <f t="shared" si="7"/>
        <v>10.774410774410775</v>
      </c>
      <c r="AZ26" s="91">
        <f t="shared" si="8"/>
        <v>0.53</v>
      </c>
      <c r="BA26" s="36">
        <v>1.21</v>
      </c>
      <c r="BB26" s="36">
        <v>80</v>
      </c>
      <c r="BC26" s="55">
        <f t="shared" si="9"/>
        <v>25236.700807039408</v>
      </c>
      <c r="BD26" s="88">
        <f t="shared" si="10"/>
        <v>74.300163757806132</v>
      </c>
      <c r="BE26" s="88">
        <f t="shared" si="11"/>
        <v>74.300163757806132</v>
      </c>
      <c r="BF26" s="58">
        <f t="shared" si="12"/>
        <v>308.60032751561226</v>
      </c>
      <c r="BG26" s="4"/>
      <c r="BH26" s="115">
        <f t="shared" si="13"/>
        <v>2</v>
      </c>
      <c r="BI26" s="115">
        <f t="shared" si="14"/>
        <v>1</v>
      </c>
      <c r="BJ26" s="116">
        <f t="shared" si="15"/>
        <v>13946633.333333334</v>
      </c>
      <c r="BK26" s="117">
        <f t="shared" si="16"/>
        <v>57</v>
      </c>
      <c r="BL26" s="117">
        <f t="shared" si="48"/>
        <v>28.5</v>
      </c>
      <c r="BM26" s="117">
        <f t="shared" si="18"/>
        <v>9.5</v>
      </c>
      <c r="BN26" s="117">
        <f t="shared" si="19"/>
        <v>28.5</v>
      </c>
      <c r="BO26" s="117">
        <f t="shared" si="20"/>
        <v>47.5</v>
      </c>
      <c r="BP26" s="117">
        <f t="shared" si="21"/>
        <v>0</v>
      </c>
      <c r="BQ26" s="117">
        <f t="shared" si="22"/>
        <v>0</v>
      </c>
      <c r="BR26" s="118">
        <f t="shared" si="23"/>
        <v>164616000</v>
      </c>
      <c r="BS26" s="96">
        <f t="shared" si="49"/>
        <v>178562633.33333334</v>
      </c>
      <c r="BT26" s="99">
        <f t="shared" si="25"/>
        <v>3078144000000</v>
      </c>
      <c r="BU26" s="96">
        <f t="shared" si="26"/>
        <v>456000</v>
      </c>
      <c r="BV26" s="99">
        <f t="shared" si="27"/>
        <v>641280000</v>
      </c>
      <c r="BW26" s="5"/>
      <c r="BX26" s="96">
        <f t="shared" si="28"/>
        <v>1873228181441.1362</v>
      </c>
      <c r="BY26" s="99">
        <f t="shared" si="29"/>
        <v>4783711097.8453579</v>
      </c>
      <c r="BZ26" s="91">
        <f t="shared" si="30"/>
        <v>1.903835619380399E-2</v>
      </c>
      <c r="CA26" s="88">
        <f t="shared" si="31"/>
        <v>18.467146291324426</v>
      </c>
      <c r="CB26" s="88">
        <f t="shared" si="32"/>
        <v>130.03285370867559</v>
      </c>
      <c r="CC26" s="119">
        <f t="shared" si="33"/>
        <v>6710.0000001356648</v>
      </c>
      <c r="CD26" s="120">
        <f t="shared" si="34"/>
        <v>-1.3566477718995884E-7</v>
      </c>
      <c r="CE26" s="1"/>
      <c r="CF26" s="96">
        <f t="shared" si="35"/>
        <v>55104487128.71685</v>
      </c>
      <c r="CG26" s="99">
        <f t="shared" si="36"/>
        <v>140721749.34711918</v>
      </c>
      <c r="CH26" s="106">
        <f t="shared" si="37"/>
        <v>0.3975005833177781</v>
      </c>
      <c r="CI26" s="88">
        <f t="shared" si="38"/>
        <v>3.266719826612845</v>
      </c>
      <c r="CJ26" s="88">
        <f t="shared" si="39"/>
        <v>145.23328017338716</v>
      </c>
      <c r="CK26" s="99">
        <f t="shared" si="40"/>
        <v>4319954081426.396</v>
      </c>
      <c r="CL26" s="93"/>
    </row>
    <row r="27" spans="1:90" ht="71.25">
      <c r="A27" s="20"/>
      <c r="B27" s="153" t="s">
        <v>283</v>
      </c>
      <c r="C27" s="160" t="s">
        <v>301</v>
      </c>
      <c r="D27" s="123" t="s">
        <v>53</v>
      </c>
      <c r="E27" s="146" t="s">
        <v>59</v>
      </c>
      <c r="F27" s="124">
        <v>2020</v>
      </c>
      <c r="G27" s="1"/>
      <c r="H27" s="125" t="s">
        <v>150</v>
      </c>
      <c r="I27" s="123" t="str">
        <f t="shared" si="41"/>
        <v>Glue</v>
      </c>
      <c r="J27" s="123" t="s">
        <v>69</v>
      </c>
      <c r="K27" s="123" t="s">
        <v>72</v>
      </c>
      <c r="L27" s="126" t="s">
        <v>65</v>
      </c>
      <c r="M27" s="126" t="s">
        <v>264</v>
      </c>
      <c r="N27" s="147" t="s">
        <v>67</v>
      </c>
      <c r="O27" s="147" t="s">
        <v>270</v>
      </c>
      <c r="P27" s="2"/>
      <c r="Q27" s="127">
        <f>140600/2</f>
        <v>70300</v>
      </c>
      <c r="R27" s="128">
        <f t="shared" si="58"/>
        <v>56983.184252530984</v>
      </c>
      <c r="S27" s="128">
        <v>1663.7224273373854</v>
      </c>
      <c r="T27" s="128">
        <f t="shared" si="1"/>
        <v>811.65043511298222</v>
      </c>
      <c r="U27" s="3" t="s">
        <v>75</v>
      </c>
      <c r="V27" s="103" t="s">
        <v>61</v>
      </c>
      <c r="W27" s="103">
        <f t="shared" ref="W27:W50" si="72">IF(J27="3-Ply", 3,5)</f>
        <v>5</v>
      </c>
      <c r="X27" s="103" t="s">
        <v>14</v>
      </c>
      <c r="Y27" s="123">
        <v>35</v>
      </c>
      <c r="Z27" s="123">
        <v>9500</v>
      </c>
      <c r="AA27" s="128">
        <f>Z27/16</f>
        <v>593.75</v>
      </c>
      <c r="AB27" s="123">
        <v>35</v>
      </c>
      <c r="AC27" s="128">
        <f t="shared" ref="AC27:AC83" si="73">9000/30</f>
        <v>300</v>
      </c>
      <c r="AD27" s="123">
        <f>MAX(Y27,AB27)</f>
        <v>35</v>
      </c>
      <c r="AE27" s="123">
        <v>8940</v>
      </c>
      <c r="AF27" s="1"/>
      <c r="AG27" s="103" t="str">
        <f t="shared" si="68"/>
        <v>Glulam</v>
      </c>
      <c r="AH27" s="123" t="s">
        <v>60</v>
      </c>
      <c r="AI27" s="123">
        <v>415</v>
      </c>
      <c r="AJ27" s="123">
        <v>215</v>
      </c>
      <c r="AK27" s="123">
        <v>10300</v>
      </c>
      <c r="AL27" s="1"/>
      <c r="AM27" s="130" t="s">
        <v>20</v>
      </c>
      <c r="AN27" s="103">
        <v>45</v>
      </c>
      <c r="AO27" s="123">
        <f>(100+245)/2</f>
        <v>172.5</v>
      </c>
      <c r="AP27" s="128" t="s">
        <v>14</v>
      </c>
      <c r="AQ27" s="1"/>
      <c r="AR27" s="127">
        <f>762-(AJ27/2)</f>
        <v>654.5</v>
      </c>
      <c r="AS27" s="128">
        <f>1524-AJ27</f>
        <v>1309</v>
      </c>
      <c r="AT27" s="128">
        <f t="shared" si="55"/>
        <v>2178.5</v>
      </c>
      <c r="AU27" s="1"/>
      <c r="AV27" s="131">
        <f t="shared" si="4"/>
        <v>7.3210290827740498E-2</v>
      </c>
      <c r="AW27" s="132">
        <f t="shared" si="5"/>
        <v>0.146420581655481</v>
      </c>
      <c r="AX27" s="133">
        <f t="shared" si="6"/>
        <v>18.709077318353046</v>
      </c>
      <c r="AY27" s="134">
        <f t="shared" si="7"/>
        <v>15.152542372881356</v>
      </c>
      <c r="AZ27" s="135">
        <f t="shared" si="8"/>
        <v>0.43</v>
      </c>
      <c r="BA27" s="123">
        <v>1.21</v>
      </c>
      <c r="BB27" s="123">
        <v>80</v>
      </c>
      <c r="BC27" s="128">
        <f t="shared" si="9"/>
        <v>53316.365260914405</v>
      </c>
      <c r="BD27" s="134">
        <f t="shared" si="10"/>
        <v>245.87028201200928</v>
      </c>
      <c r="BE27" s="134">
        <f t="shared" si="11"/>
        <v>350.780153100973</v>
      </c>
      <c r="BF27" s="129">
        <f t="shared" si="12"/>
        <v>811.65043511298222</v>
      </c>
      <c r="BG27" s="4"/>
      <c r="BH27" s="136">
        <f t="shared" si="13"/>
        <v>3</v>
      </c>
      <c r="BI27" s="136">
        <f t="shared" si="14"/>
        <v>2</v>
      </c>
      <c r="BJ27" s="137">
        <f t="shared" si="15"/>
        <v>103971875</v>
      </c>
      <c r="BK27" s="138">
        <f t="shared" si="16"/>
        <v>175</v>
      </c>
      <c r="BL27" s="138">
        <f t="shared" si="48"/>
        <v>87.5</v>
      </c>
      <c r="BM27" s="138">
        <f t="shared" si="18"/>
        <v>17.5</v>
      </c>
      <c r="BN27" s="138">
        <f t="shared" si="19"/>
        <v>52.5</v>
      </c>
      <c r="BO27" s="138">
        <f t="shared" si="20"/>
        <v>87.5</v>
      </c>
      <c r="BP27" s="138">
        <f t="shared" si="21"/>
        <v>122.5</v>
      </c>
      <c r="BQ27" s="138">
        <f t="shared" si="22"/>
        <v>157.5</v>
      </c>
      <c r="BR27" s="139">
        <f t="shared" si="23"/>
        <v>3284225000</v>
      </c>
      <c r="BS27" s="140">
        <f t="shared" si="49"/>
        <v>3388196875</v>
      </c>
      <c r="BT27" s="141">
        <f t="shared" si="25"/>
        <v>13189815744791.668</v>
      </c>
      <c r="BU27" s="140">
        <f t="shared" si="26"/>
        <v>997500</v>
      </c>
      <c r="BV27" s="141">
        <f t="shared" si="27"/>
        <v>919017500</v>
      </c>
      <c r="BW27" s="5"/>
      <c r="BX27" s="140">
        <f t="shared" si="28"/>
        <v>5637019129171.9434</v>
      </c>
      <c r="BY27" s="141">
        <f t="shared" si="29"/>
        <v>1659563121.269042</v>
      </c>
      <c r="BZ27" s="135">
        <f t="shared" si="30"/>
        <v>1</v>
      </c>
      <c r="CA27" s="134">
        <f t="shared" si="31"/>
        <v>189.8606996175385</v>
      </c>
      <c r="CB27" s="134">
        <f t="shared" si="32"/>
        <v>105.1393003824615</v>
      </c>
      <c r="CC27" s="142">
        <f t="shared" si="33"/>
        <v>70299.999999638167</v>
      </c>
      <c r="CD27" s="143">
        <f t="shared" si="34"/>
        <v>3.6183337215334177E-7</v>
      </c>
      <c r="CE27" s="1"/>
      <c r="CF27" s="140">
        <f t="shared" si="35"/>
        <v>2750031467842.1968</v>
      </c>
      <c r="CG27" s="141">
        <f t="shared" si="36"/>
        <v>809621309.02519977</v>
      </c>
      <c r="CH27" s="144">
        <f t="shared" si="37"/>
        <v>1</v>
      </c>
      <c r="CI27" s="134">
        <f t="shared" si="38"/>
        <v>92.623935894193707</v>
      </c>
      <c r="CJ27" s="134">
        <f t="shared" si="39"/>
        <v>202.37606410580628</v>
      </c>
      <c r="CK27" s="141">
        <f t="shared" si="40"/>
        <v>56983184252530.984</v>
      </c>
      <c r="CL27" s="93"/>
    </row>
    <row r="28" spans="1:90" ht="34.9" customHeight="1">
      <c r="A28" s="20"/>
      <c r="B28" s="200" t="s">
        <v>282</v>
      </c>
      <c r="C28" s="201" t="s">
        <v>302</v>
      </c>
      <c r="D28" s="31" t="s">
        <v>44</v>
      </c>
      <c r="E28" s="31" t="s">
        <v>143</v>
      </c>
      <c r="F28" s="108">
        <v>2020</v>
      </c>
      <c r="G28" s="1"/>
      <c r="H28" s="109" t="s">
        <v>149</v>
      </c>
      <c r="I28" s="31" t="str">
        <f t="shared" si="41"/>
        <v>Discrete</v>
      </c>
      <c r="J28" s="31" t="s">
        <v>70</v>
      </c>
      <c r="K28" s="31" t="s">
        <v>72</v>
      </c>
      <c r="L28" s="110" t="s">
        <v>65</v>
      </c>
      <c r="M28" s="110" t="s">
        <v>264</v>
      </c>
      <c r="N28" s="110" t="s">
        <v>268</v>
      </c>
      <c r="O28" s="110" t="s">
        <v>270</v>
      </c>
      <c r="P28" s="2"/>
      <c r="Q28" s="49">
        <f>10^3*4.59</f>
        <v>4590</v>
      </c>
      <c r="R28" s="53">
        <f t="shared" si="58"/>
        <v>4220.7292246918059</v>
      </c>
      <c r="S28" s="56">
        <v>405.88968099431884</v>
      </c>
      <c r="T28" s="53">
        <f t="shared" si="1"/>
        <v>328.3758012465172</v>
      </c>
      <c r="U28" s="3" t="s">
        <v>75</v>
      </c>
      <c r="V28" s="27" t="s">
        <v>61</v>
      </c>
      <c r="W28" s="27">
        <f t="shared" si="72"/>
        <v>3</v>
      </c>
      <c r="X28" s="27" t="s">
        <v>14</v>
      </c>
      <c r="Y28" s="31">
        <v>35</v>
      </c>
      <c r="Z28" s="31">
        <v>11700</v>
      </c>
      <c r="AA28" s="53">
        <f>Z28/16</f>
        <v>731.25</v>
      </c>
      <c r="AB28" s="31">
        <v>35</v>
      </c>
      <c r="AC28" s="53">
        <f t="shared" si="73"/>
        <v>300</v>
      </c>
      <c r="AD28" s="31">
        <f>MAX(Y28,AB28)</f>
        <v>35</v>
      </c>
      <c r="AE28" s="31">
        <v>6000</v>
      </c>
      <c r="AF28" s="1"/>
      <c r="AG28" s="27" t="str">
        <f t="shared" si="68"/>
        <v>Glulam</v>
      </c>
      <c r="AH28" s="31" t="s">
        <v>13</v>
      </c>
      <c r="AI28" s="31">
        <v>190</v>
      </c>
      <c r="AJ28" s="31">
        <v>130</v>
      </c>
      <c r="AK28" s="31">
        <v>12800</v>
      </c>
      <c r="AL28" s="1"/>
      <c r="AM28" s="63" t="s">
        <v>245</v>
      </c>
      <c r="AN28" s="27">
        <v>45</v>
      </c>
      <c r="AO28" s="31">
        <v>85</v>
      </c>
      <c r="AP28" s="53">
        <v>36790</v>
      </c>
      <c r="AQ28" s="1"/>
      <c r="AR28" s="49">
        <f t="shared" ref="AR28:AR39" si="74">(600-AJ28)/2</f>
        <v>235</v>
      </c>
      <c r="AS28" s="53">
        <f>AR28</f>
        <v>235</v>
      </c>
      <c r="AT28" s="53">
        <f t="shared" si="55"/>
        <v>600</v>
      </c>
      <c r="AU28" s="1"/>
      <c r="AV28" s="77">
        <f t="shared" si="4"/>
        <v>3.9166666666666669E-2</v>
      </c>
      <c r="AW28" s="80">
        <f t="shared" si="5"/>
        <v>3.9166666666666669E-2</v>
      </c>
      <c r="AX28" s="83">
        <f t="shared" si="6"/>
        <v>23.141630435987377</v>
      </c>
      <c r="AY28" s="86">
        <f t="shared" si="7"/>
        <v>20.338983050847457</v>
      </c>
      <c r="AZ28" s="89">
        <f t="shared" si="8"/>
        <v>0.53</v>
      </c>
      <c r="BA28" s="31">
        <v>1.21</v>
      </c>
      <c r="BB28" s="31">
        <v>80</v>
      </c>
      <c r="BC28" s="53">
        <f t="shared" si="9"/>
        <v>35390.764806544452</v>
      </c>
      <c r="BD28" s="86">
        <f t="shared" si="10"/>
        <v>99.187900623258599</v>
      </c>
      <c r="BE28" s="86">
        <f t="shared" si="11"/>
        <v>99.187900623258599</v>
      </c>
      <c r="BF28" s="56">
        <f t="shared" si="12"/>
        <v>328.3758012465172</v>
      </c>
      <c r="BG28" s="4"/>
      <c r="BH28" s="23">
        <f t="shared" si="13"/>
        <v>2</v>
      </c>
      <c r="BI28" s="23">
        <f t="shared" si="14"/>
        <v>1</v>
      </c>
      <c r="BJ28" s="30">
        <f t="shared" si="15"/>
        <v>84678125</v>
      </c>
      <c r="BK28" s="75">
        <f t="shared" si="16"/>
        <v>105</v>
      </c>
      <c r="BL28" s="75">
        <f t="shared" si="48"/>
        <v>52.5</v>
      </c>
      <c r="BM28" s="75">
        <f t="shared" si="18"/>
        <v>17.5</v>
      </c>
      <c r="BN28" s="75">
        <f t="shared" si="19"/>
        <v>52.5</v>
      </c>
      <c r="BO28" s="75">
        <f t="shared" si="20"/>
        <v>87.5</v>
      </c>
      <c r="BP28" s="75">
        <f t="shared" si="21"/>
        <v>0</v>
      </c>
      <c r="BQ28" s="75">
        <f t="shared" si="22"/>
        <v>0</v>
      </c>
      <c r="BR28" s="113">
        <f t="shared" si="23"/>
        <v>1003275000</v>
      </c>
      <c r="BS28" s="94">
        <f t="shared" si="49"/>
        <v>1087953125</v>
      </c>
      <c r="BT28" s="97">
        <f t="shared" si="25"/>
        <v>951114666666.66663</v>
      </c>
      <c r="BU28" s="94">
        <f t="shared" si="26"/>
        <v>819000</v>
      </c>
      <c r="BV28" s="97">
        <f t="shared" si="27"/>
        <v>316160000</v>
      </c>
      <c r="BW28" s="5"/>
      <c r="BX28" s="94">
        <f t="shared" si="28"/>
        <v>441588946843.02228</v>
      </c>
      <c r="BY28" s="97">
        <f t="shared" si="29"/>
        <v>332423648.73434711</v>
      </c>
      <c r="BZ28" s="89">
        <f t="shared" si="30"/>
        <v>0.82606316888373943</v>
      </c>
      <c r="CA28" s="86">
        <f t="shared" si="31"/>
        <v>68.562075123737216</v>
      </c>
      <c r="CB28" s="86">
        <f t="shared" si="32"/>
        <v>78.937924876262784</v>
      </c>
      <c r="CC28" s="46">
        <f t="shared" si="33"/>
        <v>4590</v>
      </c>
      <c r="CD28" s="76">
        <f t="shared" si="34"/>
        <v>0</v>
      </c>
      <c r="CE28" s="1"/>
      <c r="CF28" s="94">
        <f t="shared" si="35"/>
        <v>357257479140.52728</v>
      </c>
      <c r="CG28" s="97">
        <f t="shared" si="36"/>
        <v>268939781.22089761</v>
      </c>
      <c r="CH28" s="104">
        <f t="shared" si="37"/>
        <v>0.85444545421352935</v>
      </c>
      <c r="CI28" s="86">
        <f t="shared" si="38"/>
        <v>56.472492616270955</v>
      </c>
      <c r="CJ28" s="86">
        <f t="shared" si="39"/>
        <v>91.027507383729045</v>
      </c>
      <c r="CK28" s="97">
        <f t="shared" si="40"/>
        <v>4220729224691.8057</v>
      </c>
      <c r="CL28" s="93"/>
    </row>
    <row r="29" spans="1:90" ht="34.9" customHeight="1">
      <c r="A29" s="20"/>
      <c r="B29" s="200"/>
      <c r="C29" s="201"/>
      <c r="D29" s="32" t="s">
        <v>44</v>
      </c>
      <c r="E29" s="32" t="s">
        <v>144</v>
      </c>
      <c r="F29" s="35">
        <v>2020</v>
      </c>
      <c r="G29" s="1"/>
      <c r="H29" s="37" t="s">
        <v>149</v>
      </c>
      <c r="I29" s="32" t="str">
        <f t="shared" si="41"/>
        <v>Discrete</v>
      </c>
      <c r="J29" s="32" t="s">
        <v>70</v>
      </c>
      <c r="K29" s="32" t="s">
        <v>72</v>
      </c>
      <c r="L29" s="38" t="s">
        <v>65</v>
      </c>
      <c r="M29" s="38" t="s">
        <v>264</v>
      </c>
      <c r="N29" s="38" t="s">
        <v>268</v>
      </c>
      <c r="O29" s="38" t="s">
        <v>270</v>
      </c>
      <c r="P29" s="2"/>
      <c r="Q29" s="50">
        <f>10^3*5.59</f>
        <v>5590</v>
      </c>
      <c r="R29" s="54">
        <f t="shared" si="58"/>
        <v>4408.9552997186229</v>
      </c>
      <c r="S29" s="57">
        <v>682.8922962932271</v>
      </c>
      <c r="T29" s="54">
        <f t="shared" si="1"/>
        <v>328.3758012465172</v>
      </c>
      <c r="U29" s="3" t="s">
        <v>75</v>
      </c>
      <c r="V29" s="28" t="s">
        <v>61</v>
      </c>
      <c r="W29" s="28">
        <f t="shared" si="72"/>
        <v>3</v>
      </c>
      <c r="X29" s="28" t="s">
        <v>14</v>
      </c>
      <c r="Y29" s="32">
        <v>35</v>
      </c>
      <c r="Z29" s="32">
        <v>11700</v>
      </c>
      <c r="AA29" s="54">
        <f t="shared" ref="AA29:AA39" si="75">Z29/16</f>
        <v>731.25</v>
      </c>
      <c r="AB29" s="32">
        <v>35</v>
      </c>
      <c r="AC29" s="54">
        <f t="shared" si="73"/>
        <v>300</v>
      </c>
      <c r="AD29" s="32">
        <f t="shared" ref="AD29:AD39" si="76">MAX(Y29,AB29)</f>
        <v>35</v>
      </c>
      <c r="AE29" s="32">
        <v>6000</v>
      </c>
      <c r="AF29" s="1"/>
      <c r="AG29" s="28" t="s">
        <v>72</v>
      </c>
      <c r="AH29" s="32" t="s">
        <v>13</v>
      </c>
      <c r="AI29" s="32">
        <v>190</v>
      </c>
      <c r="AJ29" s="32">
        <v>130</v>
      </c>
      <c r="AK29" s="32">
        <v>12800</v>
      </c>
      <c r="AL29" s="1"/>
      <c r="AM29" s="64" t="s">
        <v>245</v>
      </c>
      <c r="AN29" s="28">
        <v>45</v>
      </c>
      <c r="AO29" s="32">
        <v>85</v>
      </c>
      <c r="AP29" s="54">
        <v>36790</v>
      </c>
      <c r="AQ29" s="1"/>
      <c r="AR29" s="50">
        <f t="shared" si="74"/>
        <v>235</v>
      </c>
      <c r="AS29" s="54">
        <f>AR29</f>
        <v>235</v>
      </c>
      <c r="AT29" s="54">
        <f t="shared" si="55"/>
        <v>600</v>
      </c>
      <c r="AU29" s="1"/>
      <c r="AV29" s="78">
        <f t="shared" si="4"/>
        <v>3.9166666666666669E-2</v>
      </c>
      <c r="AW29" s="81">
        <f t="shared" si="5"/>
        <v>3.9166666666666669E-2</v>
      </c>
      <c r="AX29" s="84">
        <f t="shared" si="6"/>
        <v>23.141630435987377</v>
      </c>
      <c r="AY29" s="87">
        <f t="shared" si="7"/>
        <v>20.338983050847457</v>
      </c>
      <c r="AZ29" s="90">
        <f t="shared" si="8"/>
        <v>0.53</v>
      </c>
      <c r="BA29" s="32">
        <v>1.21</v>
      </c>
      <c r="BB29" s="32">
        <v>80</v>
      </c>
      <c r="BC29" s="54">
        <f t="shared" si="9"/>
        <v>35390.764806544452</v>
      </c>
      <c r="BD29" s="87">
        <f t="shared" si="10"/>
        <v>99.187900623258599</v>
      </c>
      <c r="BE29" s="87">
        <f t="shared" si="11"/>
        <v>99.187900623258599</v>
      </c>
      <c r="BF29" s="57">
        <f t="shared" si="12"/>
        <v>328.3758012465172</v>
      </c>
      <c r="BG29" s="4"/>
      <c r="BH29" s="8">
        <f t="shared" si="13"/>
        <v>2</v>
      </c>
      <c r="BI29" s="8">
        <f t="shared" si="14"/>
        <v>1</v>
      </c>
      <c r="BJ29" s="13">
        <f t="shared" si="15"/>
        <v>84678125</v>
      </c>
      <c r="BK29" s="12">
        <f t="shared" si="16"/>
        <v>105</v>
      </c>
      <c r="BL29" s="12">
        <f t="shared" si="48"/>
        <v>52.5</v>
      </c>
      <c r="BM29" s="12">
        <f t="shared" si="18"/>
        <v>17.5</v>
      </c>
      <c r="BN29" s="12">
        <f t="shared" si="19"/>
        <v>52.5</v>
      </c>
      <c r="BO29" s="12">
        <f t="shared" si="20"/>
        <v>87.5</v>
      </c>
      <c r="BP29" s="12">
        <f t="shared" si="21"/>
        <v>0</v>
      </c>
      <c r="BQ29" s="12">
        <f t="shared" si="22"/>
        <v>0</v>
      </c>
      <c r="BR29" s="92">
        <f t="shared" si="23"/>
        <v>1003275000</v>
      </c>
      <c r="BS29" s="95">
        <f t="shared" si="49"/>
        <v>1087953125</v>
      </c>
      <c r="BT29" s="98">
        <f t="shared" si="25"/>
        <v>951114666666.66663</v>
      </c>
      <c r="BU29" s="95">
        <f t="shared" si="26"/>
        <v>819000</v>
      </c>
      <c r="BV29" s="98">
        <f t="shared" si="27"/>
        <v>316160000</v>
      </c>
      <c r="BW29" s="5"/>
      <c r="BX29" s="95">
        <f t="shared" si="28"/>
        <v>742954807790.64233</v>
      </c>
      <c r="BY29" s="98">
        <f t="shared" si="29"/>
        <v>559288790.66415298</v>
      </c>
      <c r="BZ29" s="90">
        <f t="shared" si="30"/>
        <v>0.73841047616452593</v>
      </c>
      <c r="CA29" s="87">
        <f t="shared" si="31"/>
        <v>83.543422029238371</v>
      </c>
      <c r="CB29" s="87">
        <f t="shared" si="32"/>
        <v>63.956577970761629</v>
      </c>
      <c r="CC29" s="43">
        <f t="shared" si="33"/>
        <v>5589.9999999999991</v>
      </c>
      <c r="CD29" s="11">
        <f t="shared" si="34"/>
        <v>0</v>
      </c>
      <c r="CE29" s="1"/>
      <c r="CF29" s="95">
        <f t="shared" si="35"/>
        <v>357257479140.52728</v>
      </c>
      <c r="CG29" s="98">
        <f t="shared" si="36"/>
        <v>268939781.22089761</v>
      </c>
      <c r="CH29" s="105">
        <f t="shared" si="37"/>
        <v>0.85444545421352935</v>
      </c>
      <c r="CI29" s="87">
        <f t="shared" si="38"/>
        <v>42.686256061081743</v>
      </c>
      <c r="CJ29" s="87">
        <f t="shared" si="39"/>
        <v>104.81374393891826</v>
      </c>
      <c r="CK29" s="98">
        <f t="shared" si="40"/>
        <v>4408955299718.623</v>
      </c>
      <c r="CL29" s="93"/>
    </row>
    <row r="30" spans="1:90" ht="34.9" customHeight="1">
      <c r="A30" s="20"/>
      <c r="B30" s="200"/>
      <c r="C30" s="201"/>
      <c r="D30" s="32" t="s">
        <v>44</v>
      </c>
      <c r="E30" s="32" t="s">
        <v>145</v>
      </c>
      <c r="F30" s="35">
        <v>2020</v>
      </c>
      <c r="G30" s="1"/>
      <c r="H30" s="37" t="s">
        <v>149</v>
      </c>
      <c r="I30" s="32" t="str">
        <f t="shared" si="41"/>
        <v>Discrete</v>
      </c>
      <c r="J30" s="32" t="s">
        <v>70</v>
      </c>
      <c r="K30" s="32" t="s">
        <v>72</v>
      </c>
      <c r="L30" s="38" t="s">
        <v>65</v>
      </c>
      <c r="M30" s="38" t="s">
        <v>264</v>
      </c>
      <c r="N30" s="38" t="s">
        <v>268</v>
      </c>
      <c r="O30" s="38" t="s">
        <v>270</v>
      </c>
      <c r="P30" s="2"/>
      <c r="Q30" s="50">
        <f>10^3*4.59</f>
        <v>4590</v>
      </c>
      <c r="R30" s="54">
        <f t="shared" si="58"/>
        <v>4220.7292246918059</v>
      </c>
      <c r="S30" s="57">
        <v>405.88968099431884</v>
      </c>
      <c r="T30" s="54">
        <f t="shared" si="1"/>
        <v>328.3758012465172</v>
      </c>
      <c r="U30" s="3" t="s">
        <v>75</v>
      </c>
      <c r="V30" s="28" t="s">
        <v>61</v>
      </c>
      <c r="W30" s="28">
        <f t="shared" si="72"/>
        <v>3</v>
      </c>
      <c r="X30" s="28" t="s">
        <v>14</v>
      </c>
      <c r="Y30" s="32">
        <v>35</v>
      </c>
      <c r="Z30" s="32">
        <v>11700</v>
      </c>
      <c r="AA30" s="54">
        <f t="shared" si="75"/>
        <v>731.25</v>
      </c>
      <c r="AB30" s="32">
        <v>35</v>
      </c>
      <c r="AC30" s="54">
        <f t="shared" si="73"/>
        <v>300</v>
      </c>
      <c r="AD30" s="32">
        <f t="shared" si="76"/>
        <v>35</v>
      </c>
      <c r="AE30" s="32">
        <v>6000</v>
      </c>
      <c r="AF30" s="1"/>
      <c r="AG30" s="28" t="s">
        <v>72</v>
      </c>
      <c r="AH30" s="32" t="s">
        <v>13</v>
      </c>
      <c r="AI30" s="32">
        <v>190</v>
      </c>
      <c r="AJ30" s="32">
        <v>130</v>
      </c>
      <c r="AK30" s="32">
        <v>12800</v>
      </c>
      <c r="AL30" s="1"/>
      <c r="AM30" s="64" t="s">
        <v>245</v>
      </c>
      <c r="AN30" s="28">
        <v>45</v>
      </c>
      <c r="AO30" s="32">
        <v>85</v>
      </c>
      <c r="AP30" s="54">
        <v>36790</v>
      </c>
      <c r="AQ30" s="1"/>
      <c r="AR30" s="50">
        <f t="shared" si="74"/>
        <v>235</v>
      </c>
      <c r="AS30" s="54">
        <f t="shared" ref="AS30:AS39" si="77">AR30</f>
        <v>235</v>
      </c>
      <c r="AT30" s="54">
        <f t="shared" si="55"/>
        <v>600</v>
      </c>
      <c r="AU30" s="1"/>
      <c r="AV30" s="78">
        <f t="shared" si="4"/>
        <v>3.9166666666666669E-2</v>
      </c>
      <c r="AW30" s="81">
        <f t="shared" si="5"/>
        <v>3.9166666666666669E-2</v>
      </c>
      <c r="AX30" s="84">
        <f t="shared" si="6"/>
        <v>23.141630435987377</v>
      </c>
      <c r="AY30" s="87">
        <f t="shared" si="7"/>
        <v>20.338983050847457</v>
      </c>
      <c r="AZ30" s="90">
        <f t="shared" si="8"/>
        <v>0.53</v>
      </c>
      <c r="BA30" s="32">
        <v>1.21</v>
      </c>
      <c r="BB30" s="32">
        <v>80</v>
      </c>
      <c r="BC30" s="54">
        <f t="shared" si="9"/>
        <v>35390.764806544452</v>
      </c>
      <c r="BD30" s="87">
        <f t="shared" si="10"/>
        <v>99.187900623258599</v>
      </c>
      <c r="BE30" s="87">
        <f t="shared" si="11"/>
        <v>99.187900623258599</v>
      </c>
      <c r="BF30" s="57">
        <f t="shared" si="12"/>
        <v>328.3758012465172</v>
      </c>
      <c r="BG30" s="4"/>
      <c r="BH30" s="8">
        <f t="shared" si="13"/>
        <v>2</v>
      </c>
      <c r="BI30" s="8">
        <f t="shared" si="14"/>
        <v>1</v>
      </c>
      <c r="BJ30" s="13">
        <f t="shared" si="15"/>
        <v>84678125</v>
      </c>
      <c r="BK30" s="12">
        <f t="shared" si="16"/>
        <v>105</v>
      </c>
      <c r="BL30" s="12">
        <f t="shared" si="48"/>
        <v>52.5</v>
      </c>
      <c r="BM30" s="12">
        <f t="shared" si="18"/>
        <v>17.5</v>
      </c>
      <c r="BN30" s="12">
        <f t="shared" si="19"/>
        <v>52.5</v>
      </c>
      <c r="BO30" s="12">
        <f t="shared" si="20"/>
        <v>87.5</v>
      </c>
      <c r="BP30" s="12">
        <f t="shared" si="21"/>
        <v>0</v>
      </c>
      <c r="BQ30" s="12">
        <f t="shared" si="22"/>
        <v>0</v>
      </c>
      <c r="BR30" s="92">
        <f t="shared" si="23"/>
        <v>1003275000</v>
      </c>
      <c r="BS30" s="95">
        <f t="shared" si="49"/>
        <v>1087953125</v>
      </c>
      <c r="BT30" s="98">
        <f t="shared" si="25"/>
        <v>951114666666.66663</v>
      </c>
      <c r="BU30" s="95">
        <f t="shared" si="26"/>
        <v>819000</v>
      </c>
      <c r="BV30" s="98">
        <f t="shared" si="27"/>
        <v>316160000</v>
      </c>
      <c r="BW30" s="5"/>
      <c r="BX30" s="95">
        <f t="shared" si="28"/>
        <v>441588946843.02228</v>
      </c>
      <c r="BY30" s="98">
        <f t="shared" si="29"/>
        <v>332423648.73434711</v>
      </c>
      <c r="BZ30" s="90">
        <f t="shared" si="30"/>
        <v>0.82606316888373943</v>
      </c>
      <c r="CA30" s="87">
        <f t="shared" si="31"/>
        <v>68.562075123737216</v>
      </c>
      <c r="CB30" s="87">
        <f t="shared" si="32"/>
        <v>78.937924876262784</v>
      </c>
      <c r="CC30" s="43">
        <f t="shared" si="33"/>
        <v>4590</v>
      </c>
      <c r="CD30" s="11">
        <f t="shared" si="34"/>
        <v>0</v>
      </c>
      <c r="CE30" s="1"/>
      <c r="CF30" s="95">
        <f t="shared" si="35"/>
        <v>357257479140.52728</v>
      </c>
      <c r="CG30" s="98">
        <f t="shared" si="36"/>
        <v>268939781.22089761</v>
      </c>
      <c r="CH30" s="105">
        <f t="shared" si="37"/>
        <v>0.85444545421352935</v>
      </c>
      <c r="CI30" s="87">
        <f t="shared" si="38"/>
        <v>56.472492616270955</v>
      </c>
      <c r="CJ30" s="87">
        <f t="shared" si="39"/>
        <v>91.027507383729045</v>
      </c>
      <c r="CK30" s="98">
        <f t="shared" si="40"/>
        <v>4220729224691.8057</v>
      </c>
      <c r="CL30" s="93"/>
    </row>
    <row r="31" spans="1:90" ht="34.9" customHeight="1">
      <c r="A31" s="20"/>
      <c r="B31" s="200"/>
      <c r="C31" s="201"/>
      <c r="D31" s="32" t="s">
        <v>44</v>
      </c>
      <c r="E31" s="32" t="s">
        <v>146</v>
      </c>
      <c r="F31" s="35">
        <v>2020</v>
      </c>
      <c r="G31" s="1"/>
      <c r="H31" s="37" t="s">
        <v>149</v>
      </c>
      <c r="I31" s="32" t="str">
        <f t="shared" si="41"/>
        <v>Discrete</v>
      </c>
      <c r="J31" s="32" t="s">
        <v>70</v>
      </c>
      <c r="K31" s="32" t="s">
        <v>72</v>
      </c>
      <c r="L31" s="38" t="s">
        <v>65</v>
      </c>
      <c r="M31" s="38" t="s">
        <v>264</v>
      </c>
      <c r="N31" s="38" t="s">
        <v>268</v>
      </c>
      <c r="O31" s="38" t="s">
        <v>270</v>
      </c>
      <c r="P31" s="2"/>
      <c r="Q31" s="50">
        <f>10^3*4.31</f>
        <v>4310</v>
      </c>
      <c r="R31" s="54">
        <f t="shared" si="58"/>
        <v>4204.8576593528605</v>
      </c>
      <c r="S31" s="57">
        <v>348.38605359435041</v>
      </c>
      <c r="T31" s="54">
        <f t="shared" si="1"/>
        <v>328.3758012465172</v>
      </c>
      <c r="U31" s="3" t="s">
        <v>75</v>
      </c>
      <c r="V31" s="28" t="s">
        <v>61</v>
      </c>
      <c r="W31" s="28">
        <f t="shared" si="72"/>
        <v>3</v>
      </c>
      <c r="X31" s="28" t="s">
        <v>14</v>
      </c>
      <c r="Y31" s="32">
        <v>35</v>
      </c>
      <c r="Z31" s="32">
        <v>11700</v>
      </c>
      <c r="AA31" s="54">
        <f t="shared" si="75"/>
        <v>731.25</v>
      </c>
      <c r="AB31" s="32">
        <v>35</v>
      </c>
      <c r="AC31" s="54">
        <f t="shared" si="73"/>
        <v>300</v>
      </c>
      <c r="AD31" s="32">
        <f t="shared" si="76"/>
        <v>35</v>
      </c>
      <c r="AE31" s="32">
        <v>6000</v>
      </c>
      <c r="AF31" s="1"/>
      <c r="AG31" s="28" t="s">
        <v>72</v>
      </c>
      <c r="AH31" s="32" t="s">
        <v>13</v>
      </c>
      <c r="AI31" s="32">
        <v>190</v>
      </c>
      <c r="AJ31" s="32">
        <v>130</v>
      </c>
      <c r="AK31" s="32">
        <v>12800</v>
      </c>
      <c r="AL31" s="1"/>
      <c r="AM31" s="64" t="s">
        <v>245</v>
      </c>
      <c r="AN31" s="28">
        <v>45</v>
      </c>
      <c r="AO31" s="32">
        <v>85</v>
      </c>
      <c r="AP31" s="54">
        <v>36790</v>
      </c>
      <c r="AQ31" s="1"/>
      <c r="AR31" s="50">
        <f t="shared" si="74"/>
        <v>235</v>
      </c>
      <c r="AS31" s="54">
        <f t="shared" si="77"/>
        <v>235</v>
      </c>
      <c r="AT31" s="54">
        <f t="shared" si="55"/>
        <v>600</v>
      </c>
      <c r="AU31" s="1"/>
      <c r="AV31" s="78">
        <f t="shared" si="4"/>
        <v>3.9166666666666669E-2</v>
      </c>
      <c r="AW31" s="81">
        <f t="shared" si="5"/>
        <v>3.9166666666666669E-2</v>
      </c>
      <c r="AX31" s="84">
        <f t="shared" si="6"/>
        <v>23.141630435987377</v>
      </c>
      <c r="AY31" s="87">
        <f t="shared" si="7"/>
        <v>20.338983050847457</v>
      </c>
      <c r="AZ31" s="90">
        <f t="shared" si="8"/>
        <v>0.53</v>
      </c>
      <c r="BA31" s="32">
        <v>1.21</v>
      </c>
      <c r="BB31" s="32">
        <v>80</v>
      </c>
      <c r="BC31" s="54">
        <f t="shared" si="9"/>
        <v>35390.764806544452</v>
      </c>
      <c r="BD31" s="87">
        <f t="shared" si="10"/>
        <v>99.187900623258599</v>
      </c>
      <c r="BE31" s="87">
        <f t="shared" si="11"/>
        <v>99.187900623258599</v>
      </c>
      <c r="BF31" s="57">
        <f t="shared" si="12"/>
        <v>328.3758012465172</v>
      </c>
      <c r="BG31" s="4"/>
      <c r="BH31" s="8">
        <f t="shared" si="13"/>
        <v>2</v>
      </c>
      <c r="BI31" s="8">
        <f t="shared" si="14"/>
        <v>1</v>
      </c>
      <c r="BJ31" s="13">
        <f t="shared" si="15"/>
        <v>84678125</v>
      </c>
      <c r="BK31" s="12">
        <f t="shared" si="16"/>
        <v>105</v>
      </c>
      <c r="BL31" s="12">
        <f t="shared" si="48"/>
        <v>52.5</v>
      </c>
      <c r="BM31" s="12">
        <f t="shared" si="18"/>
        <v>17.5</v>
      </c>
      <c r="BN31" s="12">
        <f t="shared" si="19"/>
        <v>52.5</v>
      </c>
      <c r="BO31" s="12">
        <f t="shared" si="20"/>
        <v>87.5</v>
      </c>
      <c r="BP31" s="12">
        <f t="shared" si="21"/>
        <v>0</v>
      </c>
      <c r="BQ31" s="12">
        <f t="shared" si="22"/>
        <v>0</v>
      </c>
      <c r="BR31" s="92">
        <f t="shared" si="23"/>
        <v>1003275000</v>
      </c>
      <c r="BS31" s="95">
        <f t="shared" si="49"/>
        <v>1087953125</v>
      </c>
      <c r="BT31" s="98">
        <f t="shared" si="25"/>
        <v>951114666666.66663</v>
      </c>
      <c r="BU31" s="95">
        <f t="shared" si="26"/>
        <v>819000</v>
      </c>
      <c r="BV31" s="98">
        <f t="shared" si="27"/>
        <v>316160000</v>
      </c>
      <c r="BW31" s="5"/>
      <c r="BX31" s="95">
        <f t="shared" si="28"/>
        <v>379027695714.39099</v>
      </c>
      <c r="BY31" s="98">
        <f t="shared" si="29"/>
        <v>285328177.89377302</v>
      </c>
      <c r="BZ31" s="90">
        <f t="shared" si="30"/>
        <v>0.84693343874619065</v>
      </c>
      <c r="CA31" s="87">
        <f t="shared" si="31"/>
        <v>63.899369502224623</v>
      </c>
      <c r="CB31" s="87">
        <f t="shared" si="32"/>
        <v>83.60063049777537</v>
      </c>
      <c r="CC31" s="43">
        <f t="shared" si="33"/>
        <v>4310</v>
      </c>
      <c r="CD31" s="11">
        <f t="shared" si="34"/>
        <v>0</v>
      </c>
      <c r="CE31" s="1"/>
      <c r="CF31" s="95">
        <f t="shared" si="35"/>
        <v>357257479140.52728</v>
      </c>
      <c r="CG31" s="98">
        <f t="shared" si="36"/>
        <v>268939781.22089761</v>
      </c>
      <c r="CH31" s="105">
        <f t="shared" si="37"/>
        <v>0.85444545421352935</v>
      </c>
      <c r="CI31" s="87">
        <f t="shared" si="38"/>
        <v>60.530805092660351</v>
      </c>
      <c r="CJ31" s="87">
        <f t="shared" si="39"/>
        <v>86.969194907339642</v>
      </c>
      <c r="CK31" s="98">
        <f t="shared" si="40"/>
        <v>4204857659352.8604</v>
      </c>
      <c r="CL31" s="93"/>
    </row>
    <row r="32" spans="1:90" ht="34.9" customHeight="1">
      <c r="A32" s="20"/>
      <c r="B32" s="200"/>
      <c r="C32" s="201"/>
      <c r="D32" s="32" t="s">
        <v>44</v>
      </c>
      <c r="E32" s="32" t="s">
        <v>135</v>
      </c>
      <c r="F32" s="35">
        <v>2020</v>
      </c>
      <c r="G32" s="1"/>
      <c r="H32" s="37" t="s">
        <v>149</v>
      </c>
      <c r="I32" s="32" t="str">
        <f t="shared" si="41"/>
        <v>Discrete</v>
      </c>
      <c r="J32" s="32" t="s">
        <v>70</v>
      </c>
      <c r="K32" s="32" t="s">
        <v>72</v>
      </c>
      <c r="L32" s="38" t="s">
        <v>65</v>
      </c>
      <c r="M32" s="38" t="s">
        <v>264</v>
      </c>
      <c r="N32" s="38" t="s">
        <v>268</v>
      </c>
      <c r="O32" s="38" t="s">
        <v>270</v>
      </c>
      <c r="P32" s="2"/>
      <c r="Q32" s="50">
        <f>10^3*4.54</f>
        <v>4540</v>
      </c>
      <c r="R32" s="54">
        <f t="shared" si="58"/>
        <v>4011.1690280604676</v>
      </c>
      <c r="S32" s="57">
        <v>464.84216445803929</v>
      </c>
      <c r="T32" s="54">
        <f t="shared" si="1"/>
        <v>328.3758012465172</v>
      </c>
      <c r="U32" s="3" t="s">
        <v>75</v>
      </c>
      <c r="V32" s="28" t="s">
        <v>61</v>
      </c>
      <c r="W32" s="28">
        <f t="shared" si="72"/>
        <v>3</v>
      </c>
      <c r="X32" s="28" t="s">
        <v>14</v>
      </c>
      <c r="Y32" s="32">
        <v>35</v>
      </c>
      <c r="Z32" s="32">
        <v>11700</v>
      </c>
      <c r="AA32" s="54">
        <f t="shared" si="75"/>
        <v>731.25</v>
      </c>
      <c r="AB32" s="32">
        <v>35</v>
      </c>
      <c r="AC32" s="54">
        <f t="shared" si="73"/>
        <v>300</v>
      </c>
      <c r="AD32" s="32">
        <f t="shared" si="76"/>
        <v>35</v>
      </c>
      <c r="AE32" s="32">
        <v>6000</v>
      </c>
      <c r="AF32" s="1"/>
      <c r="AG32" s="28" t="s">
        <v>72</v>
      </c>
      <c r="AH32" s="32" t="s">
        <v>13</v>
      </c>
      <c r="AI32" s="32">
        <v>190</v>
      </c>
      <c r="AJ32" s="32">
        <v>130</v>
      </c>
      <c r="AK32" s="32">
        <v>12800</v>
      </c>
      <c r="AL32" s="1"/>
      <c r="AM32" s="64" t="s">
        <v>245</v>
      </c>
      <c r="AN32" s="28">
        <v>45</v>
      </c>
      <c r="AO32" s="32">
        <v>170</v>
      </c>
      <c r="AP32" s="54">
        <v>36790</v>
      </c>
      <c r="AQ32" s="1"/>
      <c r="AR32" s="50">
        <f t="shared" si="74"/>
        <v>235</v>
      </c>
      <c r="AS32" s="54">
        <f t="shared" si="77"/>
        <v>235</v>
      </c>
      <c r="AT32" s="54">
        <f t="shared" si="55"/>
        <v>600</v>
      </c>
      <c r="AU32" s="1"/>
      <c r="AV32" s="78">
        <f t="shared" si="4"/>
        <v>3.9166666666666669E-2</v>
      </c>
      <c r="AW32" s="81">
        <f t="shared" si="5"/>
        <v>3.9166666666666669E-2</v>
      </c>
      <c r="AX32" s="84">
        <f t="shared" si="6"/>
        <v>23.141630435987377</v>
      </c>
      <c r="AY32" s="87">
        <f t="shared" si="7"/>
        <v>20.338983050847457</v>
      </c>
      <c r="AZ32" s="90">
        <f t="shared" si="8"/>
        <v>0.53</v>
      </c>
      <c r="BA32" s="32">
        <v>1.21</v>
      </c>
      <c r="BB32" s="32">
        <v>80</v>
      </c>
      <c r="BC32" s="54">
        <f t="shared" si="9"/>
        <v>35390.764806544452</v>
      </c>
      <c r="BD32" s="87">
        <f t="shared" si="10"/>
        <v>99.187900623258599</v>
      </c>
      <c r="BE32" s="87">
        <f t="shared" si="11"/>
        <v>99.187900623258599</v>
      </c>
      <c r="BF32" s="57">
        <f t="shared" si="12"/>
        <v>328.3758012465172</v>
      </c>
      <c r="BG32" s="4"/>
      <c r="BH32" s="8">
        <f t="shared" si="13"/>
        <v>2</v>
      </c>
      <c r="BI32" s="8">
        <f t="shared" si="14"/>
        <v>1</v>
      </c>
      <c r="BJ32" s="13">
        <f t="shared" si="15"/>
        <v>84678125</v>
      </c>
      <c r="BK32" s="12">
        <f t="shared" si="16"/>
        <v>105</v>
      </c>
      <c r="BL32" s="12">
        <f t="shared" si="48"/>
        <v>52.5</v>
      </c>
      <c r="BM32" s="12">
        <f t="shared" si="18"/>
        <v>17.5</v>
      </c>
      <c r="BN32" s="12">
        <f t="shared" si="19"/>
        <v>52.5</v>
      </c>
      <c r="BO32" s="12">
        <f t="shared" si="20"/>
        <v>87.5</v>
      </c>
      <c r="BP32" s="12">
        <f t="shared" si="21"/>
        <v>0</v>
      </c>
      <c r="BQ32" s="12">
        <f t="shared" si="22"/>
        <v>0</v>
      </c>
      <c r="BR32" s="92">
        <f t="shared" si="23"/>
        <v>1003275000</v>
      </c>
      <c r="BS32" s="95">
        <f t="shared" si="49"/>
        <v>1087953125</v>
      </c>
      <c r="BT32" s="98">
        <f t="shared" si="25"/>
        <v>951114666666.66663</v>
      </c>
      <c r="BU32" s="95">
        <f t="shared" si="26"/>
        <v>819000</v>
      </c>
      <c r="BV32" s="98">
        <f t="shared" si="27"/>
        <v>316160000</v>
      </c>
      <c r="BW32" s="5"/>
      <c r="BX32" s="95">
        <f t="shared" si="28"/>
        <v>505726485453.88776</v>
      </c>
      <c r="BY32" s="98">
        <f t="shared" si="29"/>
        <v>380705732.69113415</v>
      </c>
      <c r="BZ32" s="90">
        <f t="shared" si="30"/>
        <v>0.67463306429900571</v>
      </c>
      <c r="CA32" s="87">
        <f t="shared" si="31"/>
        <v>66.114536468971835</v>
      </c>
      <c r="CB32" s="87">
        <f t="shared" si="32"/>
        <v>81.385463531028165</v>
      </c>
      <c r="CC32" s="43">
        <f t="shared" si="33"/>
        <v>4539.9999999999991</v>
      </c>
      <c r="CD32" s="11">
        <f t="shared" si="34"/>
        <v>0</v>
      </c>
      <c r="CE32" s="1"/>
      <c r="CF32" s="95">
        <f t="shared" si="35"/>
        <v>357257479140.52728</v>
      </c>
      <c r="CG32" s="98">
        <f t="shared" si="36"/>
        <v>268939781.22089761</v>
      </c>
      <c r="CH32" s="105">
        <f t="shared" si="37"/>
        <v>0.74587932748930541</v>
      </c>
      <c r="CI32" s="87">
        <f t="shared" si="38"/>
        <v>49.303431804748314</v>
      </c>
      <c r="CJ32" s="87">
        <f t="shared" si="39"/>
        <v>98.196568195251686</v>
      </c>
      <c r="CK32" s="98">
        <f t="shared" si="40"/>
        <v>4011169028060.4678</v>
      </c>
      <c r="CL32" s="93"/>
    </row>
    <row r="33" spans="1:90" ht="34.9" customHeight="1">
      <c r="A33" s="20"/>
      <c r="B33" s="200"/>
      <c r="C33" s="201"/>
      <c r="D33" s="32" t="s">
        <v>44</v>
      </c>
      <c r="E33" s="32" t="s">
        <v>136</v>
      </c>
      <c r="F33" s="35">
        <v>2020</v>
      </c>
      <c r="G33" s="1"/>
      <c r="H33" s="37" t="s">
        <v>149</v>
      </c>
      <c r="I33" s="32" t="str">
        <f t="shared" si="41"/>
        <v>Discrete</v>
      </c>
      <c r="J33" s="32" t="s">
        <v>70</v>
      </c>
      <c r="K33" s="32" t="s">
        <v>72</v>
      </c>
      <c r="L33" s="38" t="s">
        <v>65</v>
      </c>
      <c r="M33" s="38" t="s">
        <v>264</v>
      </c>
      <c r="N33" s="38" t="s">
        <v>268</v>
      </c>
      <c r="O33" s="38" t="s">
        <v>270</v>
      </c>
      <c r="P33" s="2"/>
      <c r="Q33" s="50">
        <f>10^3*4.27</f>
        <v>4270</v>
      </c>
      <c r="R33" s="54">
        <f t="shared" si="58"/>
        <v>3987.2878288361339</v>
      </c>
      <c r="S33" s="57">
        <v>394.1175305872747</v>
      </c>
      <c r="T33" s="54">
        <f t="shared" si="1"/>
        <v>328.3758012465172</v>
      </c>
      <c r="U33" s="3" t="s">
        <v>75</v>
      </c>
      <c r="V33" s="28" t="s">
        <v>61</v>
      </c>
      <c r="W33" s="28">
        <f t="shared" si="72"/>
        <v>3</v>
      </c>
      <c r="X33" s="28" t="s">
        <v>14</v>
      </c>
      <c r="Y33" s="32">
        <v>35</v>
      </c>
      <c r="Z33" s="32">
        <v>11700</v>
      </c>
      <c r="AA33" s="54">
        <f t="shared" si="75"/>
        <v>731.25</v>
      </c>
      <c r="AB33" s="32">
        <v>35</v>
      </c>
      <c r="AC33" s="54">
        <f t="shared" ref="AC33:AC39" si="78">9000/30</f>
        <v>300</v>
      </c>
      <c r="AD33" s="32">
        <f t="shared" si="76"/>
        <v>35</v>
      </c>
      <c r="AE33" s="32">
        <v>6000</v>
      </c>
      <c r="AF33" s="1"/>
      <c r="AG33" s="28" t="s">
        <v>72</v>
      </c>
      <c r="AH33" s="32" t="s">
        <v>13</v>
      </c>
      <c r="AI33" s="32">
        <v>190</v>
      </c>
      <c r="AJ33" s="32">
        <v>130</v>
      </c>
      <c r="AK33" s="32">
        <v>12800</v>
      </c>
      <c r="AL33" s="1"/>
      <c r="AM33" s="64" t="s">
        <v>245</v>
      </c>
      <c r="AN33" s="28">
        <v>45</v>
      </c>
      <c r="AO33" s="32">
        <v>170</v>
      </c>
      <c r="AP33" s="54">
        <v>36790</v>
      </c>
      <c r="AQ33" s="1"/>
      <c r="AR33" s="50">
        <f t="shared" si="74"/>
        <v>235</v>
      </c>
      <c r="AS33" s="54">
        <f t="shared" si="77"/>
        <v>235</v>
      </c>
      <c r="AT33" s="54">
        <f t="shared" si="55"/>
        <v>600</v>
      </c>
      <c r="AU33" s="1"/>
      <c r="AV33" s="78">
        <f t="shared" si="4"/>
        <v>3.9166666666666669E-2</v>
      </c>
      <c r="AW33" s="81">
        <f t="shared" si="5"/>
        <v>3.9166666666666669E-2</v>
      </c>
      <c r="AX33" s="84">
        <f t="shared" si="6"/>
        <v>23.141630435987377</v>
      </c>
      <c r="AY33" s="87">
        <f t="shared" si="7"/>
        <v>20.338983050847457</v>
      </c>
      <c r="AZ33" s="90">
        <f t="shared" si="8"/>
        <v>0.53</v>
      </c>
      <c r="BA33" s="32">
        <v>1.21</v>
      </c>
      <c r="BB33" s="32">
        <v>80</v>
      </c>
      <c r="BC33" s="54">
        <f t="shared" si="9"/>
        <v>35390.764806544452</v>
      </c>
      <c r="BD33" s="87">
        <f t="shared" si="10"/>
        <v>99.187900623258599</v>
      </c>
      <c r="BE33" s="87">
        <f t="shared" si="11"/>
        <v>99.187900623258599</v>
      </c>
      <c r="BF33" s="57">
        <f t="shared" si="12"/>
        <v>328.3758012465172</v>
      </c>
      <c r="BG33" s="4"/>
      <c r="BH33" s="8">
        <f t="shared" si="13"/>
        <v>2</v>
      </c>
      <c r="BI33" s="8">
        <f t="shared" si="14"/>
        <v>1</v>
      </c>
      <c r="BJ33" s="13">
        <f t="shared" si="15"/>
        <v>84678125</v>
      </c>
      <c r="BK33" s="12">
        <f t="shared" si="16"/>
        <v>105</v>
      </c>
      <c r="BL33" s="12">
        <f t="shared" si="48"/>
        <v>52.5</v>
      </c>
      <c r="BM33" s="12">
        <f t="shared" si="18"/>
        <v>17.5</v>
      </c>
      <c r="BN33" s="12">
        <f t="shared" si="19"/>
        <v>52.5</v>
      </c>
      <c r="BO33" s="12">
        <f t="shared" si="20"/>
        <v>87.5</v>
      </c>
      <c r="BP33" s="12">
        <f t="shared" si="21"/>
        <v>0</v>
      </c>
      <c r="BQ33" s="12">
        <f t="shared" si="22"/>
        <v>0</v>
      </c>
      <c r="BR33" s="92">
        <f t="shared" si="23"/>
        <v>1003275000</v>
      </c>
      <c r="BS33" s="95">
        <f t="shared" si="49"/>
        <v>1087953125</v>
      </c>
      <c r="BT33" s="98">
        <f t="shared" si="25"/>
        <v>951114666666.66663</v>
      </c>
      <c r="BU33" s="95">
        <f t="shared" si="26"/>
        <v>819000</v>
      </c>
      <c r="BV33" s="98">
        <f t="shared" si="27"/>
        <v>316160000</v>
      </c>
      <c r="BW33" s="5"/>
      <c r="BX33" s="95">
        <f t="shared" si="28"/>
        <v>428781399019.70862</v>
      </c>
      <c r="BY33" s="98">
        <f t="shared" si="29"/>
        <v>322782257.550978</v>
      </c>
      <c r="BZ33" s="90">
        <f t="shared" si="30"/>
        <v>0.70976935014908216</v>
      </c>
      <c r="CA33" s="87">
        <f t="shared" si="31"/>
        <v>61.974712102724808</v>
      </c>
      <c r="CB33" s="87">
        <f t="shared" si="32"/>
        <v>85.525287897275192</v>
      </c>
      <c r="CC33" s="43">
        <f t="shared" si="33"/>
        <v>4270.0000000000027</v>
      </c>
      <c r="CD33" s="11">
        <f t="shared" si="34"/>
        <v>0</v>
      </c>
      <c r="CE33" s="1"/>
      <c r="CF33" s="95">
        <f t="shared" si="35"/>
        <v>357257479140.52728</v>
      </c>
      <c r="CG33" s="98">
        <f t="shared" si="36"/>
        <v>268939781.22089761</v>
      </c>
      <c r="CH33" s="105">
        <f t="shared" si="37"/>
        <v>0.74587932748930541</v>
      </c>
      <c r="CI33" s="87">
        <f t="shared" si="38"/>
        <v>53.128244362459277</v>
      </c>
      <c r="CJ33" s="87">
        <f t="shared" si="39"/>
        <v>94.37175563754073</v>
      </c>
      <c r="CK33" s="98">
        <f t="shared" si="40"/>
        <v>3987287828836.1338</v>
      </c>
      <c r="CL33" s="93"/>
    </row>
    <row r="34" spans="1:90" ht="34.9" customHeight="1">
      <c r="A34" s="20"/>
      <c r="B34" s="200"/>
      <c r="C34" s="201"/>
      <c r="D34" s="32" t="s">
        <v>44</v>
      </c>
      <c r="E34" s="32" t="s">
        <v>137</v>
      </c>
      <c r="F34" s="35">
        <v>2020</v>
      </c>
      <c r="G34" s="1"/>
      <c r="H34" s="37" t="s">
        <v>149</v>
      </c>
      <c r="I34" s="32" t="str">
        <f t="shared" si="41"/>
        <v>Discrete</v>
      </c>
      <c r="J34" s="32" t="s">
        <v>70</v>
      </c>
      <c r="K34" s="32" t="s">
        <v>72</v>
      </c>
      <c r="L34" s="38" t="s">
        <v>65</v>
      </c>
      <c r="M34" s="38" t="s">
        <v>264</v>
      </c>
      <c r="N34" s="38" t="s">
        <v>268</v>
      </c>
      <c r="O34" s="38" t="s">
        <v>270</v>
      </c>
      <c r="P34" s="2"/>
      <c r="Q34" s="50">
        <f>10^3*4.19</f>
        <v>4190</v>
      </c>
      <c r="R34" s="54">
        <f t="shared" si="58"/>
        <v>3983.1093702973399</v>
      </c>
      <c r="S34" s="57">
        <v>375.04418791489212</v>
      </c>
      <c r="T34" s="54">
        <f t="shared" si="1"/>
        <v>328.3758012465172</v>
      </c>
      <c r="U34" s="3" t="s">
        <v>75</v>
      </c>
      <c r="V34" s="28" t="s">
        <v>61</v>
      </c>
      <c r="W34" s="28">
        <f t="shared" si="72"/>
        <v>3</v>
      </c>
      <c r="X34" s="28" t="s">
        <v>14</v>
      </c>
      <c r="Y34" s="32">
        <v>35</v>
      </c>
      <c r="Z34" s="32">
        <v>11700</v>
      </c>
      <c r="AA34" s="54">
        <f t="shared" si="75"/>
        <v>731.25</v>
      </c>
      <c r="AB34" s="32">
        <v>35</v>
      </c>
      <c r="AC34" s="54">
        <f t="shared" si="78"/>
        <v>300</v>
      </c>
      <c r="AD34" s="32">
        <f t="shared" si="76"/>
        <v>35</v>
      </c>
      <c r="AE34" s="32">
        <v>6000</v>
      </c>
      <c r="AF34" s="1"/>
      <c r="AG34" s="28" t="s">
        <v>72</v>
      </c>
      <c r="AH34" s="32" t="s">
        <v>13</v>
      </c>
      <c r="AI34" s="32">
        <v>190</v>
      </c>
      <c r="AJ34" s="32">
        <v>130</v>
      </c>
      <c r="AK34" s="32">
        <v>12800</v>
      </c>
      <c r="AL34" s="1"/>
      <c r="AM34" s="64" t="s">
        <v>245</v>
      </c>
      <c r="AN34" s="28">
        <v>45</v>
      </c>
      <c r="AO34" s="32">
        <v>170</v>
      </c>
      <c r="AP34" s="54">
        <v>36790</v>
      </c>
      <c r="AQ34" s="1"/>
      <c r="AR34" s="50">
        <f t="shared" si="74"/>
        <v>235</v>
      </c>
      <c r="AS34" s="54">
        <f t="shared" si="77"/>
        <v>235</v>
      </c>
      <c r="AT34" s="54">
        <f t="shared" si="55"/>
        <v>600</v>
      </c>
      <c r="AU34" s="1"/>
      <c r="AV34" s="78">
        <f t="shared" si="4"/>
        <v>3.9166666666666669E-2</v>
      </c>
      <c r="AW34" s="81">
        <f t="shared" si="5"/>
        <v>3.9166666666666669E-2</v>
      </c>
      <c r="AX34" s="84">
        <f t="shared" si="6"/>
        <v>23.141630435987377</v>
      </c>
      <c r="AY34" s="87">
        <f t="shared" si="7"/>
        <v>20.338983050847457</v>
      </c>
      <c r="AZ34" s="90">
        <f t="shared" si="8"/>
        <v>0.53</v>
      </c>
      <c r="BA34" s="32">
        <v>1.21</v>
      </c>
      <c r="BB34" s="32">
        <v>80</v>
      </c>
      <c r="BC34" s="54">
        <f t="shared" si="9"/>
        <v>35390.764806544452</v>
      </c>
      <c r="BD34" s="87">
        <f t="shared" si="10"/>
        <v>99.187900623258599</v>
      </c>
      <c r="BE34" s="87">
        <f t="shared" si="11"/>
        <v>99.187900623258599</v>
      </c>
      <c r="BF34" s="57">
        <f t="shared" si="12"/>
        <v>328.3758012465172</v>
      </c>
      <c r="BG34" s="4"/>
      <c r="BH34" s="8">
        <f t="shared" si="13"/>
        <v>2</v>
      </c>
      <c r="BI34" s="8">
        <f t="shared" si="14"/>
        <v>1</v>
      </c>
      <c r="BJ34" s="13">
        <f t="shared" si="15"/>
        <v>84678125</v>
      </c>
      <c r="BK34" s="12">
        <f t="shared" si="16"/>
        <v>105</v>
      </c>
      <c r="BL34" s="12">
        <f t="shared" si="48"/>
        <v>52.5</v>
      </c>
      <c r="BM34" s="12">
        <f t="shared" si="18"/>
        <v>17.5</v>
      </c>
      <c r="BN34" s="12">
        <f t="shared" si="19"/>
        <v>52.5</v>
      </c>
      <c r="BO34" s="12">
        <f t="shared" si="20"/>
        <v>87.5</v>
      </c>
      <c r="BP34" s="12">
        <f t="shared" si="21"/>
        <v>0</v>
      </c>
      <c r="BQ34" s="12">
        <f t="shared" si="22"/>
        <v>0</v>
      </c>
      <c r="BR34" s="92">
        <f t="shared" si="23"/>
        <v>1003275000</v>
      </c>
      <c r="BS34" s="95">
        <f t="shared" si="49"/>
        <v>1087953125</v>
      </c>
      <c r="BT34" s="98">
        <f t="shared" si="25"/>
        <v>951114666666.66663</v>
      </c>
      <c r="BU34" s="95">
        <f t="shared" si="26"/>
        <v>819000</v>
      </c>
      <c r="BV34" s="98">
        <f t="shared" si="27"/>
        <v>316160000</v>
      </c>
      <c r="BW34" s="5"/>
      <c r="BX34" s="95">
        <f t="shared" si="28"/>
        <v>408030496255.09412</v>
      </c>
      <c r="BY34" s="98">
        <f t="shared" si="29"/>
        <v>307161189.90229666</v>
      </c>
      <c r="BZ34" s="90">
        <f t="shared" si="30"/>
        <v>0.71988059906991786</v>
      </c>
      <c r="CA34" s="87">
        <f t="shared" si="31"/>
        <v>60.704188333695875</v>
      </c>
      <c r="CB34" s="87">
        <f t="shared" si="32"/>
        <v>86.795811666304132</v>
      </c>
      <c r="CC34" s="43">
        <f t="shared" si="33"/>
        <v>4190.0000000000009</v>
      </c>
      <c r="CD34" s="11">
        <f t="shared" si="34"/>
        <v>0</v>
      </c>
      <c r="CE34" s="1"/>
      <c r="CF34" s="95">
        <f t="shared" si="35"/>
        <v>357257479140.52728</v>
      </c>
      <c r="CG34" s="98">
        <f t="shared" si="36"/>
        <v>268939781.22089761</v>
      </c>
      <c r="CH34" s="105">
        <f t="shared" si="37"/>
        <v>0.74587932748930541</v>
      </c>
      <c r="CI34" s="87">
        <f t="shared" si="38"/>
        <v>54.2635086650942</v>
      </c>
      <c r="CJ34" s="87">
        <f t="shared" si="39"/>
        <v>93.236491334905793</v>
      </c>
      <c r="CK34" s="98">
        <f t="shared" si="40"/>
        <v>3983109370297.3398</v>
      </c>
      <c r="CL34" s="93"/>
    </row>
    <row r="35" spans="1:90" ht="34.9" customHeight="1">
      <c r="A35" s="20"/>
      <c r="B35" s="200"/>
      <c r="C35" s="201"/>
      <c r="D35" s="32" t="s">
        <v>44</v>
      </c>
      <c r="E35" s="32" t="s">
        <v>138</v>
      </c>
      <c r="F35" s="35">
        <v>2020</v>
      </c>
      <c r="G35" s="1"/>
      <c r="H35" s="37" t="s">
        <v>149</v>
      </c>
      <c r="I35" s="32" t="str">
        <f t="shared" si="41"/>
        <v>Discrete</v>
      </c>
      <c r="J35" s="32" t="s">
        <v>70</v>
      </c>
      <c r="K35" s="32" t="s">
        <v>72</v>
      </c>
      <c r="L35" s="38" t="s">
        <v>65</v>
      </c>
      <c r="M35" s="38" t="s">
        <v>264</v>
      </c>
      <c r="N35" s="38" t="s">
        <v>268</v>
      </c>
      <c r="O35" s="38" t="s">
        <v>270</v>
      </c>
      <c r="P35" s="2"/>
      <c r="Q35" s="50">
        <f>10^3*3.99</f>
        <v>3990</v>
      </c>
      <c r="R35" s="54">
        <f t="shared" si="58"/>
        <v>3978.4919672633318</v>
      </c>
      <c r="S35" s="57">
        <v>330.78426185728836</v>
      </c>
      <c r="T35" s="54">
        <f t="shared" si="1"/>
        <v>328.3758012465172</v>
      </c>
      <c r="U35" s="3" t="s">
        <v>75</v>
      </c>
      <c r="V35" s="28" t="s">
        <v>61</v>
      </c>
      <c r="W35" s="28">
        <f t="shared" si="72"/>
        <v>3</v>
      </c>
      <c r="X35" s="28" t="s">
        <v>14</v>
      </c>
      <c r="Y35" s="32">
        <v>35</v>
      </c>
      <c r="Z35" s="32">
        <v>11700</v>
      </c>
      <c r="AA35" s="54">
        <f t="shared" si="75"/>
        <v>731.25</v>
      </c>
      <c r="AB35" s="32">
        <v>35</v>
      </c>
      <c r="AC35" s="54">
        <f t="shared" si="78"/>
        <v>300</v>
      </c>
      <c r="AD35" s="32">
        <f t="shared" si="76"/>
        <v>35</v>
      </c>
      <c r="AE35" s="32">
        <v>6000</v>
      </c>
      <c r="AF35" s="1"/>
      <c r="AG35" s="28" t="s">
        <v>72</v>
      </c>
      <c r="AH35" s="32" t="s">
        <v>13</v>
      </c>
      <c r="AI35" s="32">
        <v>190</v>
      </c>
      <c r="AJ35" s="32">
        <v>130</v>
      </c>
      <c r="AK35" s="32">
        <v>12800</v>
      </c>
      <c r="AL35" s="1"/>
      <c r="AM35" s="64" t="s">
        <v>245</v>
      </c>
      <c r="AN35" s="28">
        <v>45</v>
      </c>
      <c r="AO35" s="32">
        <v>170</v>
      </c>
      <c r="AP35" s="54">
        <v>36790</v>
      </c>
      <c r="AQ35" s="1"/>
      <c r="AR35" s="50">
        <f t="shared" si="74"/>
        <v>235</v>
      </c>
      <c r="AS35" s="54">
        <f t="shared" si="77"/>
        <v>235</v>
      </c>
      <c r="AT35" s="54">
        <f t="shared" si="55"/>
        <v>600</v>
      </c>
      <c r="AU35" s="1"/>
      <c r="AV35" s="78">
        <f t="shared" si="4"/>
        <v>3.9166666666666669E-2</v>
      </c>
      <c r="AW35" s="81">
        <f t="shared" si="5"/>
        <v>3.9166666666666669E-2</v>
      </c>
      <c r="AX35" s="84">
        <f t="shared" si="6"/>
        <v>23.141630435987377</v>
      </c>
      <c r="AY35" s="87">
        <f t="shared" si="7"/>
        <v>20.338983050847457</v>
      </c>
      <c r="AZ35" s="90">
        <f t="shared" si="8"/>
        <v>0.53</v>
      </c>
      <c r="BA35" s="32">
        <v>1.21</v>
      </c>
      <c r="BB35" s="32">
        <v>80</v>
      </c>
      <c r="BC35" s="54">
        <f t="shared" si="9"/>
        <v>35390.764806544452</v>
      </c>
      <c r="BD35" s="87">
        <f t="shared" si="10"/>
        <v>99.187900623258599</v>
      </c>
      <c r="BE35" s="87">
        <f t="shared" si="11"/>
        <v>99.187900623258599</v>
      </c>
      <c r="BF35" s="57">
        <f t="shared" si="12"/>
        <v>328.3758012465172</v>
      </c>
      <c r="BG35" s="4"/>
      <c r="BH35" s="8">
        <f t="shared" si="13"/>
        <v>2</v>
      </c>
      <c r="BI35" s="8">
        <f t="shared" si="14"/>
        <v>1</v>
      </c>
      <c r="BJ35" s="13">
        <f t="shared" si="15"/>
        <v>84678125</v>
      </c>
      <c r="BK35" s="12">
        <f t="shared" si="16"/>
        <v>105</v>
      </c>
      <c r="BL35" s="12">
        <f t="shared" si="48"/>
        <v>52.5</v>
      </c>
      <c r="BM35" s="12">
        <f t="shared" si="18"/>
        <v>17.5</v>
      </c>
      <c r="BN35" s="12">
        <f t="shared" si="19"/>
        <v>52.5</v>
      </c>
      <c r="BO35" s="12">
        <f t="shared" si="20"/>
        <v>87.5</v>
      </c>
      <c r="BP35" s="12">
        <f t="shared" si="21"/>
        <v>0</v>
      </c>
      <c r="BQ35" s="12">
        <f t="shared" si="22"/>
        <v>0</v>
      </c>
      <c r="BR35" s="92">
        <f t="shared" si="23"/>
        <v>1003275000</v>
      </c>
      <c r="BS35" s="95">
        <f t="shared" si="49"/>
        <v>1087953125</v>
      </c>
      <c r="BT35" s="98">
        <f t="shared" si="25"/>
        <v>951114666666.66663</v>
      </c>
      <c r="BU35" s="95">
        <f t="shared" si="26"/>
        <v>819000</v>
      </c>
      <c r="BV35" s="98">
        <f t="shared" si="27"/>
        <v>316160000</v>
      </c>
      <c r="BW35" s="5"/>
      <c r="BX35" s="95">
        <f t="shared" si="28"/>
        <v>359877771388.4552</v>
      </c>
      <c r="BY35" s="98">
        <f t="shared" si="29"/>
        <v>270912310.46111917</v>
      </c>
      <c r="BZ35" s="90">
        <f t="shared" si="30"/>
        <v>0.74449171478453868</v>
      </c>
      <c r="CA35" s="87">
        <f t="shared" si="31"/>
        <v>57.448010917983574</v>
      </c>
      <c r="CB35" s="87">
        <f t="shared" si="32"/>
        <v>90.051989082016433</v>
      </c>
      <c r="CC35" s="43">
        <f t="shared" si="33"/>
        <v>3990.0000000000009</v>
      </c>
      <c r="CD35" s="11">
        <f t="shared" si="34"/>
        <v>0</v>
      </c>
      <c r="CE35" s="1"/>
      <c r="CF35" s="95">
        <f t="shared" si="35"/>
        <v>357257479140.52728</v>
      </c>
      <c r="CG35" s="98">
        <f t="shared" si="36"/>
        <v>268939781.22089761</v>
      </c>
      <c r="CH35" s="105">
        <f t="shared" si="37"/>
        <v>0.74587932748930541</v>
      </c>
      <c r="CI35" s="87">
        <f t="shared" si="38"/>
        <v>57.094576296247375</v>
      </c>
      <c r="CJ35" s="87">
        <f t="shared" si="39"/>
        <v>90.405423703752632</v>
      </c>
      <c r="CK35" s="98">
        <f t="shared" si="40"/>
        <v>3978491967263.332</v>
      </c>
      <c r="CL35" s="93"/>
    </row>
    <row r="36" spans="1:90" ht="34.9" customHeight="1">
      <c r="A36" s="20"/>
      <c r="B36" s="200"/>
      <c r="C36" s="201"/>
      <c r="D36" s="32" t="s">
        <v>44</v>
      </c>
      <c r="E36" s="32" t="s">
        <v>139</v>
      </c>
      <c r="F36" s="35">
        <v>2020</v>
      </c>
      <c r="G36" s="1"/>
      <c r="H36" s="37" t="s">
        <v>149</v>
      </c>
      <c r="I36" s="32" t="str">
        <f t="shared" si="41"/>
        <v>Discrete</v>
      </c>
      <c r="J36" s="32" t="s">
        <v>70</v>
      </c>
      <c r="K36" s="32" t="s">
        <v>72</v>
      </c>
      <c r="L36" s="38" t="s">
        <v>65</v>
      </c>
      <c r="M36" s="38" t="s">
        <v>264</v>
      </c>
      <c r="N36" s="38" t="s">
        <v>268</v>
      </c>
      <c r="O36" s="38" t="s">
        <v>270</v>
      </c>
      <c r="P36" s="2"/>
      <c r="Q36" s="50">
        <f>10^3*3.48</f>
        <v>3480</v>
      </c>
      <c r="R36" s="54">
        <f t="shared" si="58"/>
        <v>3620.7508111180791</v>
      </c>
      <c r="S36" s="57">
        <v>294.04620698911003</v>
      </c>
      <c r="T36" s="54">
        <f t="shared" si="1"/>
        <v>328.3758012465172</v>
      </c>
      <c r="U36" s="3" t="s">
        <v>75</v>
      </c>
      <c r="V36" s="28" t="s">
        <v>61</v>
      </c>
      <c r="W36" s="28">
        <f t="shared" si="72"/>
        <v>3</v>
      </c>
      <c r="X36" s="28" t="s">
        <v>14</v>
      </c>
      <c r="Y36" s="32">
        <v>35</v>
      </c>
      <c r="Z36" s="32">
        <v>11700</v>
      </c>
      <c r="AA36" s="54">
        <f t="shared" si="75"/>
        <v>731.25</v>
      </c>
      <c r="AB36" s="32">
        <v>35</v>
      </c>
      <c r="AC36" s="54">
        <f t="shared" si="78"/>
        <v>300</v>
      </c>
      <c r="AD36" s="32">
        <f t="shared" si="76"/>
        <v>35</v>
      </c>
      <c r="AE36" s="32">
        <v>6000</v>
      </c>
      <c r="AF36" s="1"/>
      <c r="AG36" s="28" t="s">
        <v>72</v>
      </c>
      <c r="AH36" s="32" t="s">
        <v>13</v>
      </c>
      <c r="AI36" s="32">
        <v>190</v>
      </c>
      <c r="AJ36" s="32">
        <v>130</v>
      </c>
      <c r="AK36" s="32">
        <v>12800</v>
      </c>
      <c r="AL36" s="1"/>
      <c r="AM36" s="64" t="s">
        <v>245</v>
      </c>
      <c r="AN36" s="28">
        <v>45</v>
      </c>
      <c r="AO36" s="32">
        <v>340</v>
      </c>
      <c r="AP36" s="54">
        <v>36790</v>
      </c>
      <c r="AQ36" s="1"/>
      <c r="AR36" s="50">
        <f t="shared" si="74"/>
        <v>235</v>
      </c>
      <c r="AS36" s="54">
        <f t="shared" si="77"/>
        <v>235</v>
      </c>
      <c r="AT36" s="54">
        <f t="shared" si="55"/>
        <v>600</v>
      </c>
      <c r="AU36" s="1"/>
      <c r="AV36" s="78">
        <f t="shared" si="4"/>
        <v>3.9166666666666669E-2</v>
      </c>
      <c r="AW36" s="81">
        <f t="shared" si="5"/>
        <v>3.9166666666666669E-2</v>
      </c>
      <c r="AX36" s="84">
        <f t="shared" si="6"/>
        <v>23.141630435987377</v>
      </c>
      <c r="AY36" s="87">
        <f t="shared" si="7"/>
        <v>20.338983050847457</v>
      </c>
      <c r="AZ36" s="90">
        <f t="shared" si="8"/>
        <v>0.53</v>
      </c>
      <c r="BA36" s="32">
        <v>1.21</v>
      </c>
      <c r="BB36" s="32">
        <v>80</v>
      </c>
      <c r="BC36" s="54">
        <f t="shared" si="9"/>
        <v>35390.764806544452</v>
      </c>
      <c r="BD36" s="87">
        <f t="shared" si="10"/>
        <v>99.187900623258599</v>
      </c>
      <c r="BE36" s="87">
        <f t="shared" si="11"/>
        <v>99.187900623258599</v>
      </c>
      <c r="BF36" s="57">
        <f t="shared" si="12"/>
        <v>328.3758012465172</v>
      </c>
      <c r="BG36" s="4"/>
      <c r="BH36" s="8">
        <f t="shared" si="13"/>
        <v>2</v>
      </c>
      <c r="BI36" s="8">
        <f t="shared" si="14"/>
        <v>1</v>
      </c>
      <c r="BJ36" s="13">
        <f t="shared" si="15"/>
        <v>84678125</v>
      </c>
      <c r="BK36" s="12">
        <f t="shared" si="16"/>
        <v>105</v>
      </c>
      <c r="BL36" s="12">
        <f t="shared" si="48"/>
        <v>52.5</v>
      </c>
      <c r="BM36" s="12">
        <f t="shared" si="18"/>
        <v>17.5</v>
      </c>
      <c r="BN36" s="12">
        <f t="shared" si="19"/>
        <v>52.5</v>
      </c>
      <c r="BO36" s="12">
        <f t="shared" si="20"/>
        <v>87.5</v>
      </c>
      <c r="BP36" s="12">
        <f t="shared" si="21"/>
        <v>0</v>
      </c>
      <c r="BQ36" s="12">
        <f t="shared" si="22"/>
        <v>0</v>
      </c>
      <c r="BR36" s="92">
        <f t="shared" si="23"/>
        <v>1003275000</v>
      </c>
      <c r="BS36" s="95">
        <f t="shared" si="49"/>
        <v>1087953125</v>
      </c>
      <c r="BT36" s="98">
        <f t="shared" si="25"/>
        <v>951114666666.66663</v>
      </c>
      <c r="BU36" s="95">
        <f t="shared" si="26"/>
        <v>819000</v>
      </c>
      <c r="BV36" s="98">
        <f t="shared" si="27"/>
        <v>316160000</v>
      </c>
      <c r="BW36" s="5"/>
      <c r="BX36" s="95">
        <f t="shared" si="28"/>
        <v>319908489788.1991</v>
      </c>
      <c r="BY36" s="98">
        <f t="shared" si="29"/>
        <v>240823843.52408111</v>
      </c>
      <c r="BZ36" s="90">
        <f t="shared" si="30"/>
        <v>0.62105514161569664</v>
      </c>
      <c r="CA36" s="87">
        <f t="shared" si="31"/>
        <v>47.368782241669841</v>
      </c>
      <c r="CB36" s="87">
        <f t="shared" si="32"/>
        <v>100.13121775833017</v>
      </c>
      <c r="CC36" s="43">
        <f t="shared" si="33"/>
        <v>3480.0000000000009</v>
      </c>
      <c r="CD36" s="11">
        <f t="shared" si="34"/>
        <v>0</v>
      </c>
      <c r="CE36" s="1"/>
      <c r="CF36" s="95">
        <f t="shared" si="35"/>
        <v>357257479140.52728</v>
      </c>
      <c r="CG36" s="98">
        <f t="shared" si="36"/>
        <v>268939781.22089761</v>
      </c>
      <c r="CH36" s="105">
        <f t="shared" si="37"/>
        <v>0.59474286951676469</v>
      </c>
      <c r="CI36" s="87">
        <f t="shared" si="38"/>
        <v>51.356617920956644</v>
      </c>
      <c r="CJ36" s="87">
        <f t="shared" si="39"/>
        <v>96.143382079043363</v>
      </c>
      <c r="CK36" s="98">
        <f t="shared" si="40"/>
        <v>3620750811118.0791</v>
      </c>
      <c r="CL36" s="93"/>
    </row>
    <row r="37" spans="1:90" ht="34.9" customHeight="1">
      <c r="A37" s="20"/>
      <c r="B37" s="200"/>
      <c r="C37" s="201"/>
      <c r="D37" s="32" t="s">
        <v>44</v>
      </c>
      <c r="E37" s="32" t="s">
        <v>140</v>
      </c>
      <c r="F37" s="35">
        <v>2020</v>
      </c>
      <c r="G37" s="1"/>
      <c r="H37" s="37" t="s">
        <v>149</v>
      </c>
      <c r="I37" s="32" t="str">
        <f t="shared" si="41"/>
        <v>Discrete</v>
      </c>
      <c r="J37" s="32" t="s">
        <v>70</v>
      </c>
      <c r="K37" s="32" t="s">
        <v>72</v>
      </c>
      <c r="L37" s="38" t="s">
        <v>65</v>
      </c>
      <c r="M37" s="38" t="s">
        <v>264</v>
      </c>
      <c r="N37" s="38" t="s">
        <v>268</v>
      </c>
      <c r="O37" s="38" t="s">
        <v>270</v>
      </c>
      <c r="P37" s="2"/>
      <c r="Q37" s="50">
        <f>10^3*3.6</f>
        <v>3600</v>
      </c>
      <c r="R37" s="54">
        <f t="shared" si="58"/>
        <v>3619.231896477409</v>
      </c>
      <c r="S37" s="57">
        <v>323.44300319353232</v>
      </c>
      <c r="T37" s="54">
        <f t="shared" ref="T37:T68" si="79">BF37</f>
        <v>328.3758012465172</v>
      </c>
      <c r="U37" s="3" t="s">
        <v>75</v>
      </c>
      <c r="V37" s="28" t="s">
        <v>61</v>
      </c>
      <c r="W37" s="28">
        <f t="shared" si="72"/>
        <v>3</v>
      </c>
      <c r="X37" s="28" t="s">
        <v>14</v>
      </c>
      <c r="Y37" s="32">
        <v>35</v>
      </c>
      <c r="Z37" s="32">
        <v>11700</v>
      </c>
      <c r="AA37" s="54">
        <f t="shared" si="75"/>
        <v>731.25</v>
      </c>
      <c r="AB37" s="32">
        <v>35</v>
      </c>
      <c r="AC37" s="54">
        <f t="shared" si="78"/>
        <v>300</v>
      </c>
      <c r="AD37" s="32">
        <f t="shared" si="76"/>
        <v>35</v>
      </c>
      <c r="AE37" s="32">
        <v>6000</v>
      </c>
      <c r="AF37" s="1"/>
      <c r="AG37" s="28" t="s">
        <v>72</v>
      </c>
      <c r="AH37" s="32" t="s">
        <v>13</v>
      </c>
      <c r="AI37" s="32">
        <v>190</v>
      </c>
      <c r="AJ37" s="32">
        <v>130</v>
      </c>
      <c r="AK37" s="32">
        <v>12800</v>
      </c>
      <c r="AL37" s="1"/>
      <c r="AM37" s="64" t="s">
        <v>245</v>
      </c>
      <c r="AN37" s="28">
        <v>45</v>
      </c>
      <c r="AO37" s="32">
        <v>340</v>
      </c>
      <c r="AP37" s="54">
        <v>36790</v>
      </c>
      <c r="AQ37" s="1"/>
      <c r="AR37" s="50">
        <f t="shared" si="74"/>
        <v>235</v>
      </c>
      <c r="AS37" s="54">
        <f t="shared" si="77"/>
        <v>235</v>
      </c>
      <c r="AT37" s="54">
        <f t="shared" si="55"/>
        <v>600</v>
      </c>
      <c r="AU37" s="1"/>
      <c r="AV37" s="78">
        <f t="shared" ref="AV37:AV68" si="80">AR37/AE37</f>
        <v>3.9166666666666669E-2</v>
      </c>
      <c r="AW37" s="81">
        <f t="shared" ref="AW37:AW68" si="81">AS37/AE37</f>
        <v>3.9166666666666669E-2</v>
      </c>
      <c r="AX37" s="84">
        <f t="shared" ref="AX37:AX68" si="82">BU37/BC37</f>
        <v>23.141630435987377</v>
      </c>
      <c r="AY37" s="87">
        <f t="shared" ref="AY37:AY68" si="83">AE37/(AI37+BK37)</f>
        <v>20.338983050847457</v>
      </c>
      <c r="AZ37" s="90">
        <f t="shared" ref="AZ37:AZ68" si="84">IF(W37&gt;3,0.43,0.53)</f>
        <v>0.53</v>
      </c>
      <c r="BA37" s="32">
        <v>1.21</v>
      </c>
      <c r="BB37" s="32">
        <v>80</v>
      </c>
      <c r="BC37" s="54">
        <f t="shared" ref="BC37:BC68" si="85">AA37*BK37 / ( 1 + 6*AZ37*(AD37/BB37)^BA37 )</f>
        <v>35390.764806544452</v>
      </c>
      <c r="BD37" s="87">
        <f t="shared" ref="BD37:BD68" si="86">AR37*(0.5 - (0.35*(AR37/AE37)^0.9 * (BU37/BC37)^0.45) )</f>
        <v>99.187900623258599</v>
      </c>
      <c r="BE37" s="87">
        <f t="shared" ref="BE37:BE68" si="87">AS37*(0.5 - (0.35*(AS37/AE37)^0.9 * (BU37/BC37)^0.45) )</f>
        <v>99.187900623258599</v>
      </c>
      <c r="BF37" s="57">
        <f t="shared" ref="BF37:BF68" si="88">BD37+BE37+AJ37</f>
        <v>328.3758012465172</v>
      </c>
      <c r="BG37" s="4"/>
      <c r="BH37" s="8">
        <f t="shared" ref="BH37:BH68" si="89">W37/2+0.5</f>
        <v>2</v>
      </c>
      <c r="BI37" s="8">
        <f t="shared" ref="BI37:BI68" si="90">W37-BH37</f>
        <v>1</v>
      </c>
      <c r="BJ37" s="13">
        <f t="shared" ref="BJ37:BJ68" si="91">IF(X37="-", BH37*(Z37*Y37^3/12)+ BI37*(AC37*AB37^3/12),
     2*(Z37*X37^3/12) + (BH37-2)*(Z37*Y37^3/12) + BI37*(AC37*AB37^3/12))</f>
        <v>84678125</v>
      </c>
      <c r="BK37" s="12">
        <f t="shared" ref="BK37:BK68" si="92">IF(X37="-",BH37*Y37+BI37*AB37, 2*X37 + (BH37-1)*Y37 + (BI37-1)*AB37)</f>
        <v>105</v>
      </c>
      <c r="BL37" s="12">
        <f t="shared" si="48"/>
        <v>52.5</v>
      </c>
      <c r="BM37" s="12">
        <f t="shared" ref="BM37:BM68" si="93">IF(X37="-",Y37,X37) - IF(X37="-",Y37,X37)/2</f>
        <v>17.5</v>
      </c>
      <c r="BN37" s="12">
        <f t="shared" ref="BN37:BN68" si="94">IF(X37="-",Y37,X37) + AB37/2</f>
        <v>52.5</v>
      </c>
      <c r="BO37" s="12">
        <f t="shared" ref="BO37:BO68" si="95">IF(X37="-",Y37,X37)+AB37+IF(W37&gt;3,Y37/2,IF(X37="-",Y37,X37)/2)</f>
        <v>87.5</v>
      </c>
      <c r="BP37" s="12">
        <f t="shared" ref="BP37:BP68" si="96">(IF(W37&gt;3, IF(X37="-",Y37,X37) + AB37 + Y37 + AB37/2,))</f>
        <v>0</v>
      </c>
      <c r="BQ37" s="12">
        <f t="shared" ref="BQ37:BQ68" si="97">(IF(W37&gt;3, IF(X37="-",Y37,X37) + AB37 + Y37 + AB37 + IF(X37="-",Y37,X37)/2,))</f>
        <v>0</v>
      </c>
      <c r="BR37" s="92">
        <f t="shared" ref="BR37:BR68" si="98">Z37*IF(X37="-",Y37,X37)*(BL37-BM37)^2 + AC37*AB37*(BL37-BN37)^2 + Z37*Y37*(BL37-BO37)^2 + IF(W37&gt;3,(AC37*AB37*(BL37-BP37)^2 + Z37*IF(X37="-",Y37,X37)*(BL37-BQ37)^2),0)</f>
        <v>1003275000</v>
      </c>
      <c r="BS37" s="95">
        <f t="shared" si="49"/>
        <v>1087953125</v>
      </c>
      <c r="BT37" s="98">
        <f t="shared" ref="BT37:BT68" si="99">AK37*(AJ37*AI37^3/12)</f>
        <v>951114666666.66663</v>
      </c>
      <c r="BU37" s="95">
        <f t="shared" ref="BU37:BU68" si="100">IF(X37="-",Y37*Z37*BH37, 2*Z37*X37 + Y37*Z37*(BH37-2))</f>
        <v>819000</v>
      </c>
      <c r="BV37" s="98">
        <f t="shared" ref="BV37:BV68" si="101">AK37*(AI37*AJ37)</f>
        <v>316160000</v>
      </c>
      <c r="BW37" s="5"/>
      <c r="BX37" s="95">
        <f t="shared" ref="BX37:BX68" si="102">S37*BS37</f>
        <v>351890826083.78845</v>
      </c>
      <c r="BY37" s="98">
        <f t="shared" ref="BY37:BY68" si="103">S37*BU37</f>
        <v>264899819.61550298</v>
      </c>
      <c r="BZ37" s="90">
        <f t="shared" ref="BZ37:BZ68" si="104">IF(AP37="-",1, ( 1+(PI()^2*BY37*AO37/ (AP37*AE37^2)) )^-1)</f>
        <v>0.59838565864538007</v>
      </c>
      <c r="CA37" s="87">
        <f t="shared" ref="CA37:CA68" si="105">BZ37*BY37*(AI37+BK37) / (2*(BZ37*BY37 + BV37))</f>
        <v>49.256212414429612</v>
      </c>
      <c r="CB37" s="87">
        <f t="shared" ref="CB37:CB68" si="106">(BK37+AI37)/2 -  CA37</f>
        <v>98.243787585570388</v>
      </c>
      <c r="CC37" s="43">
        <f t="shared" ref="CC37:CC68" si="107">(BT37 + BV37*CA37^2 + BX37 + BZ37*BY37*CB37^2)/1000^3</f>
        <v>3600</v>
      </c>
      <c r="CD37" s="11">
        <f t="shared" ref="CD37:CD68" si="108">Q37-CC37</f>
        <v>0</v>
      </c>
      <c r="CE37" s="1"/>
      <c r="CF37" s="95">
        <f t="shared" ref="CF37:CF68" si="109">BF37*BS37</f>
        <v>357257479140.52728</v>
      </c>
      <c r="CG37" s="98">
        <f t="shared" ref="CG37:CG68" si="110">BF37*BU37</f>
        <v>268939781.22089761</v>
      </c>
      <c r="CH37" s="105">
        <f t="shared" ref="CH37:CH68" si="111">IF(AP37="-",1, ( 1+(PI()^2*CG37*AO37/ (AP37*AE37^2)) )^-1)</f>
        <v>0.59474286951676469</v>
      </c>
      <c r="CI37" s="87">
        <f t="shared" ref="CI37:CI68" si="112">CH37*CG37*(AI37+BK37) / (2*(CH37*BY37 + BV37))</f>
        <v>49.804232680777687</v>
      </c>
      <c r="CJ37" s="87">
        <f t="shared" ref="CJ37:CJ68" si="113">(BK37+AI37)/2 -  CI37</f>
        <v>97.695767319222313</v>
      </c>
      <c r="CK37" s="98">
        <f t="shared" ref="CK37:CK68" si="114">BT37 + BV37*CI37^2 + CF37 + CH37*CG37*CJ37^2</f>
        <v>3619231896477.4092</v>
      </c>
      <c r="CL37" s="93"/>
    </row>
    <row r="38" spans="1:90" ht="34.9" customHeight="1">
      <c r="A38" s="20"/>
      <c r="B38" s="200"/>
      <c r="C38" s="201"/>
      <c r="D38" s="32" t="s">
        <v>44</v>
      </c>
      <c r="E38" s="32" t="s">
        <v>141</v>
      </c>
      <c r="F38" s="35">
        <v>2020</v>
      </c>
      <c r="G38" s="1"/>
      <c r="H38" s="37" t="s">
        <v>149</v>
      </c>
      <c r="I38" s="32" t="str">
        <f t="shared" si="41"/>
        <v>Discrete</v>
      </c>
      <c r="J38" s="32" t="s">
        <v>70</v>
      </c>
      <c r="K38" s="32" t="s">
        <v>72</v>
      </c>
      <c r="L38" s="38" t="s">
        <v>65</v>
      </c>
      <c r="M38" s="38" t="s">
        <v>264</v>
      </c>
      <c r="N38" s="38" t="s">
        <v>268</v>
      </c>
      <c r="O38" s="38" t="s">
        <v>270</v>
      </c>
      <c r="P38" s="2"/>
      <c r="Q38" s="50">
        <f>10^3*3.67</f>
        <v>3670</v>
      </c>
      <c r="R38" s="54">
        <f t="shared" si="58"/>
        <v>3619.4145843812303</v>
      </c>
      <c r="S38" s="57">
        <v>341.74238722003406</v>
      </c>
      <c r="T38" s="54">
        <f t="shared" si="79"/>
        <v>328.3758012465172</v>
      </c>
      <c r="U38" s="3" t="s">
        <v>75</v>
      </c>
      <c r="V38" s="28" t="s">
        <v>61</v>
      </c>
      <c r="W38" s="28">
        <f t="shared" si="72"/>
        <v>3</v>
      </c>
      <c r="X38" s="28" t="s">
        <v>14</v>
      </c>
      <c r="Y38" s="32">
        <v>35</v>
      </c>
      <c r="Z38" s="32">
        <v>11700</v>
      </c>
      <c r="AA38" s="54">
        <f t="shared" si="75"/>
        <v>731.25</v>
      </c>
      <c r="AB38" s="32">
        <v>35</v>
      </c>
      <c r="AC38" s="54">
        <f t="shared" si="78"/>
        <v>300</v>
      </c>
      <c r="AD38" s="32">
        <f t="shared" si="76"/>
        <v>35</v>
      </c>
      <c r="AE38" s="32">
        <v>6000</v>
      </c>
      <c r="AF38" s="1"/>
      <c r="AG38" s="28" t="s">
        <v>72</v>
      </c>
      <c r="AH38" s="32" t="s">
        <v>13</v>
      </c>
      <c r="AI38" s="32">
        <v>190</v>
      </c>
      <c r="AJ38" s="32">
        <v>130</v>
      </c>
      <c r="AK38" s="32">
        <v>12800</v>
      </c>
      <c r="AL38" s="1"/>
      <c r="AM38" s="64" t="s">
        <v>245</v>
      </c>
      <c r="AN38" s="28">
        <v>45</v>
      </c>
      <c r="AO38" s="32">
        <v>340</v>
      </c>
      <c r="AP38" s="54">
        <v>36790</v>
      </c>
      <c r="AQ38" s="1"/>
      <c r="AR38" s="50">
        <f t="shared" si="74"/>
        <v>235</v>
      </c>
      <c r="AS38" s="54">
        <f t="shared" si="77"/>
        <v>235</v>
      </c>
      <c r="AT38" s="54">
        <f t="shared" si="55"/>
        <v>600</v>
      </c>
      <c r="AU38" s="1"/>
      <c r="AV38" s="78">
        <f t="shared" si="80"/>
        <v>3.9166666666666669E-2</v>
      </c>
      <c r="AW38" s="81">
        <f t="shared" si="81"/>
        <v>3.9166666666666669E-2</v>
      </c>
      <c r="AX38" s="84">
        <f t="shared" si="82"/>
        <v>23.141630435987377</v>
      </c>
      <c r="AY38" s="87">
        <f t="shared" si="83"/>
        <v>20.338983050847457</v>
      </c>
      <c r="AZ38" s="90">
        <f t="shared" si="84"/>
        <v>0.53</v>
      </c>
      <c r="BA38" s="32">
        <v>1.21</v>
      </c>
      <c r="BB38" s="32">
        <v>80</v>
      </c>
      <c r="BC38" s="54">
        <f t="shared" si="85"/>
        <v>35390.764806544452</v>
      </c>
      <c r="BD38" s="87">
        <f t="shared" si="86"/>
        <v>99.187900623258599</v>
      </c>
      <c r="BE38" s="87">
        <f t="shared" si="87"/>
        <v>99.187900623258599</v>
      </c>
      <c r="BF38" s="57">
        <f t="shared" si="88"/>
        <v>328.3758012465172</v>
      </c>
      <c r="BG38" s="4"/>
      <c r="BH38" s="8">
        <f t="shared" si="89"/>
        <v>2</v>
      </c>
      <c r="BI38" s="8">
        <f t="shared" si="90"/>
        <v>1</v>
      </c>
      <c r="BJ38" s="13">
        <f t="shared" si="91"/>
        <v>84678125</v>
      </c>
      <c r="BK38" s="12">
        <f t="shared" si="92"/>
        <v>105</v>
      </c>
      <c r="BL38" s="12">
        <f t="shared" si="48"/>
        <v>52.5</v>
      </c>
      <c r="BM38" s="12">
        <f t="shared" si="93"/>
        <v>17.5</v>
      </c>
      <c r="BN38" s="12">
        <f t="shared" si="94"/>
        <v>52.5</v>
      </c>
      <c r="BO38" s="12">
        <f t="shared" si="95"/>
        <v>87.5</v>
      </c>
      <c r="BP38" s="12">
        <f t="shared" si="96"/>
        <v>0</v>
      </c>
      <c r="BQ38" s="12">
        <f t="shared" si="97"/>
        <v>0</v>
      </c>
      <c r="BR38" s="92">
        <f t="shared" si="98"/>
        <v>1003275000</v>
      </c>
      <c r="BS38" s="95">
        <f t="shared" si="49"/>
        <v>1087953125</v>
      </c>
      <c r="BT38" s="98">
        <f t="shared" si="99"/>
        <v>951114666666.66663</v>
      </c>
      <c r="BU38" s="95">
        <f t="shared" si="100"/>
        <v>819000</v>
      </c>
      <c r="BV38" s="98">
        <f t="shared" si="101"/>
        <v>316160000</v>
      </c>
      <c r="BW38" s="5"/>
      <c r="BX38" s="95">
        <f t="shared" si="102"/>
        <v>371799698120.99609</v>
      </c>
      <c r="BY38" s="98">
        <f t="shared" si="103"/>
        <v>279887015.13320792</v>
      </c>
      <c r="BZ38" s="90">
        <f t="shared" si="104"/>
        <v>0.58509117509775743</v>
      </c>
      <c r="CA38" s="87">
        <f t="shared" si="105"/>
        <v>50.330354834547144</v>
      </c>
      <c r="CB38" s="87">
        <f t="shared" si="106"/>
        <v>97.169645165452863</v>
      </c>
      <c r="CC38" s="43">
        <f t="shared" si="107"/>
        <v>3670.0000000000009</v>
      </c>
      <c r="CD38" s="11">
        <f t="shared" si="108"/>
        <v>0</v>
      </c>
      <c r="CE38" s="1"/>
      <c r="CF38" s="95">
        <f t="shared" si="109"/>
        <v>357257479140.52728</v>
      </c>
      <c r="CG38" s="98">
        <f t="shared" si="110"/>
        <v>268939781.22089761</v>
      </c>
      <c r="CH38" s="105">
        <f t="shared" si="111"/>
        <v>0.59474286951676469</v>
      </c>
      <c r="CI38" s="87">
        <f t="shared" si="112"/>
        <v>48.884397895381063</v>
      </c>
      <c r="CJ38" s="87">
        <f t="shared" si="113"/>
        <v>98.615602104618944</v>
      </c>
      <c r="CK38" s="98">
        <f t="shared" si="114"/>
        <v>3619414584381.2305</v>
      </c>
      <c r="CL38" s="93"/>
    </row>
    <row r="39" spans="1:90" ht="34.9" customHeight="1">
      <c r="A39" s="20"/>
      <c r="B39" s="200"/>
      <c r="C39" s="201"/>
      <c r="D39" s="36" t="s">
        <v>44</v>
      </c>
      <c r="E39" s="36" t="s">
        <v>142</v>
      </c>
      <c r="F39" s="121">
        <v>2020</v>
      </c>
      <c r="G39" s="1"/>
      <c r="H39" s="114" t="s">
        <v>149</v>
      </c>
      <c r="I39" s="36" t="str">
        <f t="shared" si="41"/>
        <v>Discrete</v>
      </c>
      <c r="J39" s="36" t="s">
        <v>70</v>
      </c>
      <c r="K39" s="36" t="s">
        <v>72</v>
      </c>
      <c r="L39" s="39" t="s">
        <v>65</v>
      </c>
      <c r="M39" s="39" t="s">
        <v>264</v>
      </c>
      <c r="N39" s="39" t="s">
        <v>268</v>
      </c>
      <c r="O39" s="39" t="s">
        <v>270</v>
      </c>
      <c r="P39" s="2"/>
      <c r="Q39" s="51">
        <f>10^3*3.31</f>
        <v>3310</v>
      </c>
      <c r="R39" s="55">
        <f t="shared" si="58"/>
        <v>3626.6014058956303</v>
      </c>
      <c r="S39" s="58">
        <v>256.34313724134432</v>
      </c>
      <c r="T39" s="55">
        <f t="shared" si="79"/>
        <v>328.3758012465172</v>
      </c>
      <c r="U39" s="3" t="s">
        <v>75</v>
      </c>
      <c r="V39" s="29" t="s">
        <v>61</v>
      </c>
      <c r="W39" s="29">
        <f t="shared" si="72"/>
        <v>3</v>
      </c>
      <c r="X39" s="29" t="s">
        <v>14</v>
      </c>
      <c r="Y39" s="36">
        <v>35</v>
      </c>
      <c r="Z39" s="36">
        <v>11700</v>
      </c>
      <c r="AA39" s="55">
        <f t="shared" si="75"/>
        <v>731.25</v>
      </c>
      <c r="AB39" s="36">
        <v>35</v>
      </c>
      <c r="AC39" s="55">
        <f t="shared" si="78"/>
        <v>300</v>
      </c>
      <c r="AD39" s="36">
        <f t="shared" si="76"/>
        <v>35</v>
      </c>
      <c r="AE39" s="36">
        <v>6000</v>
      </c>
      <c r="AF39" s="1"/>
      <c r="AG39" s="29" t="s">
        <v>72</v>
      </c>
      <c r="AH39" s="36" t="s">
        <v>13</v>
      </c>
      <c r="AI39" s="36">
        <v>190</v>
      </c>
      <c r="AJ39" s="36">
        <v>130</v>
      </c>
      <c r="AK39" s="36">
        <v>12800</v>
      </c>
      <c r="AL39" s="1"/>
      <c r="AM39" s="66" t="s">
        <v>245</v>
      </c>
      <c r="AN39" s="29">
        <v>45</v>
      </c>
      <c r="AO39" s="36">
        <v>340</v>
      </c>
      <c r="AP39" s="55">
        <v>36790</v>
      </c>
      <c r="AQ39" s="1"/>
      <c r="AR39" s="51">
        <f t="shared" si="74"/>
        <v>235</v>
      </c>
      <c r="AS39" s="55">
        <f t="shared" si="77"/>
        <v>235</v>
      </c>
      <c r="AT39" s="55">
        <f t="shared" si="55"/>
        <v>600</v>
      </c>
      <c r="AU39" s="1"/>
      <c r="AV39" s="79">
        <f t="shared" si="80"/>
        <v>3.9166666666666669E-2</v>
      </c>
      <c r="AW39" s="82">
        <f t="shared" si="81"/>
        <v>3.9166666666666669E-2</v>
      </c>
      <c r="AX39" s="85">
        <f t="shared" si="82"/>
        <v>23.141630435987377</v>
      </c>
      <c r="AY39" s="88">
        <f t="shared" si="83"/>
        <v>20.338983050847457</v>
      </c>
      <c r="AZ39" s="91">
        <f t="shared" si="84"/>
        <v>0.53</v>
      </c>
      <c r="BA39" s="36">
        <v>1.21</v>
      </c>
      <c r="BB39" s="36">
        <v>80</v>
      </c>
      <c r="BC39" s="55">
        <f t="shared" si="85"/>
        <v>35390.764806544452</v>
      </c>
      <c r="BD39" s="88">
        <f t="shared" si="86"/>
        <v>99.187900623258599</v>
      </c>
      <c r="BE39" s="88">
        <f t="shared" si="87"/>
        <v>99.187900623258599</v>
      </c>
      <c r="BF39" s="58">
        <f t="shared" si="88"/>
        <v>328.3758012465172</v>
      </c>
      <c r="BG39" s="4"/>
      <c r="BH39" s="115">
        <f t="shared" si="89"/>
        <v>2</v>
      </c>
      <c r="BI39" s="115">
        <f t="shared" si="90"/>
        <v>1</v>
      </c>
      <c r="BJ39" s="116">
        <f t="shared" si="91"/>
        <v>84678125</v>
      </c>
      <c r="BK39" s="117">
        <f t="shared" si="92"/>
        <v>105</v>
      </c>
      <c r="BL39" s="117">
        <f t="shared" si="48"/>
        <v>52.5</v>
      </c>
      <c r="BM39" s="117">
        <f t="shared" si="93"/>
        <v>17.5</v>
      </c>
      <c r="BN39" s="117">
        <f t="shared" si="94"/>
        <v>52.5</v>
      </c>
      <c r="BO39" s="117">
        <f t="shared" si="95"/>
        <v>87.5</v>
      </c>
      <c r="BP39" s="117">
        <f t="shared" si="96"/>
        <v>0</v>
      </c>
      <c r="BQ39" s="117">
        <f t="shared" si="97"/>
        <v>0</v>
      </c>
      <c r="BR39" s="118">
        <f t="shared" si="98"/>
        <v>1003275000</v>
      </c>
      <c r="BS39" s="96">
        <f t="shared" si="49"/>
        <v>1087953125</v>
      </c>
      <c r="BT39" s="99">
        <f t="shared" si="99"/>
        <v>951114666666.66663</v>
      </c>
      <c r="BU39" s="96">
        <f t="shared" si="100"/>
        <v>819000</v>
      </c>
      <c r="BV39" s="99">
        <f t="shared" si="101"/>
        <v>316160000</v>
      </c>
      <c r="BW39" s="5"/>
      <c r="BX39" s="96">
        <f t="shared" si="102"/>
        <v>278889317234.02441</v>
      </c>
      <c r="BY39" s="99">
        <f t="shared" si="103"/>
        <v>209945029.40066099</v>
      </c>
      <c r="BZ39" s="91">
        <f t="shared" si="104"/>
        <v>0.6527726527092016</v>
      </c>
      <c r="CA39" s="88">
        <f t="shared" si="105"/>
        <v>44.602947576410777</v>
      </c>
      <c r="CB39" s="88">
        <f t="shared" si="106"/>
        <v>102.89705242358923</v>
      </c>
      <c r="CC39" s="119">
        <f t="shared" si="107"/>
        <v>3310.0000000000009</v>
      </c>
      <c r="CD39" s="120">
        <f t="shared" si="108"/>
        <v>0</v>
      </c>
      <c r="CE39" s="1"/>
      <c r="CF39" s="96">
        <f t="shared" si="109"/>
        <v>357257479140.52728</v>
      </c>
      <c r="CG39" s="99">
        <f t="shared" si="110"/>
        <v>268939781.22089761</v>
      </c>
      <c r="CH39" s="106">
        <f t="shared" si="111"/>
        <v>0.59474286951676469</v>
      </c>
      <c r="CI39" s="88">
        <f t="shared" si="112"/>
        <v>53.495194120078828</v>
      </c>
      <c r="CJ39" s="88">
        <f t="shared" si="113"/>
        <v>94.004805879921179</v>
      </c>
      <c r="CK39" s="99">
        <f t="shared" si="114"/>
        <v>3626601405895.6304</v>
      </c>
      <c r="CL39" s="93"/>
    </row>
    <row r="40" spans="1:90" ht="34.9" customHeight="1">
      <c r="A40" s="20"/>
      <c r="B40" s="200" t="s">
        <v>285</v>
      </c>
      <c r="C40" s="206" t="s">
        <v>303</v>
      </c>
      <c r="D40" s="31" t="s">
        <v>27</v>
      </c>
      <c r="E40" s="31" t="s">
        <v>28</v>
      </c>
      <c r="F40" s="108">
        <v>2021</v>
      </c>
      <c r="G40" s="1"/>
      <c r="H40" s="109" t="s">
        <v>150</v>
      </c>
      <c r="I40" s="31" t="str">
        <f t="shared" si="41"/>
        <v>Discrete</v>
      </c>
      <c r="J40" s="31" t="s">
        <v>69</v>
      </c>
      <c r="K40" s="31" t="s">
        <v>30</v>
      </c>
      <c r="L40" s="110" t="s">
        <v>65</v>
      </c>
      <c r="M40" s="110" t="s">
        <v>265</v>
      </c>
      <c r="N40" s="110" t="s">
        <v>268</v>
      </c>
      <c r="O40" s="110" t="s">
        <v>270</v>
      </c>
      <c r="P40" s="2"/>
      <c r="Q40" s="49">
        <f>(((1.85*1000)*23*(AE40^3)/1296)/2)/1000^3</f>
        <v>3202.9381172839508</v>
      </c>
      <c r="R40" s="53">
        <f t="shared" si="58"/>
        <v>2954.6858202719854</v>
      </c>
      <c r="S40" s="56">
        <v>382.21271814499516</v>
      </c>
      <c r="T40" s="53">
        <f t="shared" si="79"/>
        <v>225.29549247988376</v>
      </c>
      <c r="U40" s="3" t="s">
        <v>75</v>
      </c>
      <c r="V40" s="27" t="s">
        <v>133</v>
      </c>
      <c r="W40" s="27">
        <f t="shared" si="72"/>
        <v>5</v>
      </c>
      <c r="X40" s="27">
        <v>30</v>
      </c>
      <c r="Y40" s="31">
        <v>20</v>
      </c>
      <c r="Z40" s="31">
        <v>11000</v>
      </c>
      <c r="AA40" s="53">
        <v>690</v>
      </c>
      <c r="AB40" s="31">
        <v>20</v>
      </c>
      <c r="AC40" s="53">
        <f t="shared" ref="AC40:AC44" si="115">11000/30</f>
        <v>366.66666666666669</v>
      </c>
      <c r="AD40" s="31">
        <v>30</v>
      </c>
      <c r="AE40" s="31">
        <v>5800</v>
      </c>
      <c r="AF40" s="1"/>
      <c r="AG40" s="27" t="s">
        <v>30</v>
      </c>
      <c r="AH40" s="31" t="s">
        <v>30</v>
      </c>
      <c r="AI40" s="31">
        <v>300</v>
      </c>
      <c r="AJ40" s="31">
        <v>63</v>
      </c>
      <c r="AK40" s="31">
        <v>13200</v>
      </c>
      <c r="AL40" s="1"/>
      <c r="AM40" s="63" t="s">
        <v>246</v>
      </c>
      <c r="AN40" s="27">
        <v>90</v>
      </c>
      <c r="AO40" s="31">
        <v>150</v>
      </c>
      <c r="AP40" s="53">
        <f>0.91*1000</f>
        <v>910</v>
      </c>
      <c r="AQ40" s="1"/>
      <c r="AR40" s="49">
        <f t="shared" ref="AR40:AR43" si="116">151-63/2</f>
        <v>119.5</v>
      </c>
      <c r="AS40" s="53">
        <f>318-63</f>
        <v>255</v>
      </c>
      <c r="AT40" s="53">
        <f t="shared" si="55"/>
        <v>437.5</v>
      </c>
      <c r="AU40" s="1"/>
      <c r="AV40" s="77">
        <f t="shared" si="80"/>
        <v>2.0603448275862069E-2</v>
      </c>
      <c r="AW40" s="80">
        <f t="shared" si="81"/>
        <v>4.3965517241379308E-2</v>
      </c>
      <c r="AX40" s="83">
        <f t="shared" si="82"/>
        <v>18.996562772189563</v>
      </c>
      <c r="AY40" s="86">
        <f t="shared" si="83"/>
        <v>13.80952380952381</v>
      </c>
      <c r="AZ40" s="89">
        <f t="shared" si="84"/>
        <v>0.43</v>
      </c>
      <c r="BA40" s="31">
        <v>1.21</v>
      </c>
      <c r="BB40" s="31">
        <v>80</v>
      </c>
      <c r="BC40" s="53">
        <f t="shared" si="85"/>
        <v>46324.169827622471</v>
      </c>
      <c r="BD40" s="86">
        <f t="shared" si="86"/>
        <v>54.970465152835523</v>
      </c>
      <c r="BE40" s="86">
        <f t="shared" si="87"/>
        <v>107.32502732704823</v>
      </c>
      <c r="BF40" s="56">
        <f t="shared" si="88"/>
        <v>225.29549247988376</v>
      </c>
      <c r="BG40" s="4"/>
      <c r="BH40" s="23">
        <f t="shared" si="89"/>
        <v>3</v>
      </c>
      <c r="BI40" s="23">
        <f t="shared" si="90"/>
        <v>2</v>
      </c>
      <c r="BJ40" s="30">
        <f t="shared" si="91"/>
        <v>57322222.222222224</v>
      </c>
      <c r="BK40" s="75">
        <f t="shared" si="92"/>
        <v>120</v>
      </c>
      <c r="BL40" s="75">
        <f t="shared" si="48"/>
        <v>60</v>
      </c>
      <c r="BM40" s="75">
        <f t="shared" si="93"/>
        <v>15</v>
      </c>
      <c r="BN40" s="75">
        <f t="shared" si="94"/>
        <v>40</v>
      </c>
      <c r="BO40" s="75">
        <f t="shared" si="95"/>
        <v>60</v>
      </c>
      <c r="BP40" s="75">
        <f t="shared" si="96"/>
        <v>80</v>
      </c>
      <c r="BQ40" s="75">
        <f t="shared" si="97"/>
        <v>105</v>
      </c>
      <c r="BR40" s="113">
        <f t="shared" si="98"/>
        <v>1342366666.6666667</v>
      </c>
      <c r="BS40" s="94">
        <f t="shared" si="49"/>
        <v>1399688888.8888891</v>
      </c>
      <c r="BT40" s="97">
        <f t="shared" si="99"/>
        <v>1871100000000</v>
      </c>
      <c r="BU40" s="94">
        <f t="shared" si="100"/>
        <v>880000</v>
      </c>
      <c r="BV40" s="97">
        <f t="shared" si="101"/>
        <v>249480000</v>
      </c>
      <c r="BW40" s="5"/>
      <c r="BX40" s="94">
        <f t="shared" si="102"/>
        <v>534978894779.57043</v>
      </c>
      <c r="BY40" s="97">
        <f t="shared" si="103"/>
        <v>336347191.96759576</v>
      </c>
      <c r="BZ40" s="89">
        <f t="shared" si="104"/>
        <v>5.7917210768621642E-2</v>
      </c>
      <c r="CA40" s="86">
        <f t="shared" si="105"/>
        <v>15.209907512471274</v>
      </c>
      <c r="CB40" s="86">
        <f t="shared" si="106"/>
        <v>194.79009248752874</v>
      </c>
      <c r="CC40" s="46">
        <f t="shared" si="107"/>
        <v>3202.9381172839508</v>
      </c>
      <c r="CD40" s="76">
        <f t="shared" si="108"/>
        <v>0</v>
      </c>
      <c r="CE40" s="1"/>
      <c r="CF40" s="94">
        <f t="shared" si="109"/>
        <v>315343597540.84357</v>
      </c>
      <c r="CG40" s="97">
        <f t="shared" si="110"/>
        <v>198260033.38229772</v>
      </c>
      <c r="CH40" s="104">
        <f t="shared" si="111"/>
        <v>9.4446390712745534E-2</v>
      </c>
      <c r="CI40" s="86">
        <f t="shared" si="112"/>
        <v>13.981452105960038</v>
      </c>
      <c r="CJ40" s="86">
        <f t="shared" si="113"/>
        <v>196.01854789403995</v>
      </c>
      <c r="CK40" s="97">
        <f t="shared" si="114"/>
        <v>2954685820271.9854</v>
      </c>
      <c r="CL40" s="93"/>
    </row>
    <row r="41" spans="1:90" ht="34.9" customHeight="1">
      <c r="A41" s="20"/>
      <c r="B41" s="200"/>
      <c r="C41" s="207"/>
      <c r="D41" s="32" t="s">
        <v>27</v>
      </c>
      <c r="E41" s="32" t="s">
        <v>29</v>
      </c>
      <c r="F41" s="35">
        <v>2021</v>
      </c>
      <c r="G41" s="1"/>
      <c r="H41" s="37" t="s">
        <v>150</v>
      </c>
      <c r="I41" s="32" t="str">
        <f t="shared" si="41"/>
        <v>Discrete</v>
      </c>
      <c r="J41" s="32" t="s">
        <v>69</v>
      </c>
      <c r="K41" s="32" t="s">
        <v>30</v>
      </c>
      <c r="L41" s="38" t="s">
        <v>65</v>
      </c>
      <c r="M41" s="38" t="s">
        <v>265</v>
      </c>
      <c r="N41" s="38" t="s">
        <v>268</v>
      </c>
      <c r="O41" s="38" t="s">
        <v>270</v>
      </c>
      <c r="P41" s="2"/>
      <c r="Q41" s="50">
        <f>(( (1.86*1000)*23*(AE41^3)/1296 )/2)/1000^3</f>
        <v>3220.2512962962965</v>
      </c>
      <c r="R41" s="54">
        <f t="shared" si="58"/>
        <v>3277.2163844904126</v>
      </c>
      <c r="S41" s="57">
        <v>197.86072190807451</v>
      </c>
      <c r="T41" s="54">
        <f t="shared" si="79"/>
        <v>225.29549247988376</v>
      </c>
      <c r="U41" s="3" t="s">
        <v>75</v>
      </c>
      <c r="V41" s="28" t="s">
        <v>133</v>
      </c>
      <c r="W41" s="28">
        <f t="shared" si="72"/>
        <v>5</v>
      </c>
      <c r="X41" s="28">
        <v>30</v>
      </c>
      <c r="Y41" s="32">
        <v>20</v>
      </c>
      <c r="Z41" s="32">
        <v>11000</v>
      </c>
      <c r="AA41" s="54">
        <v>690</v>
      </c>
      <c r="AB41" s="32">
        <v>20</v>
      </c>
      <c r="AC41" s="54">
        <f t="shared" si="115"/>
        <v>366.66666666666669</v>
      </c>
      <c r="AD41" s="32">
        <v>30</v>
      </c>
      <c r="AE41" s="32">
        <v>5800</v>
      </c>
      <c r="AF41" s="1"/>
      <c r="AG41" s="28" t="s">
        <v>30</v>
      </c>
      <c r="AH41" s="32" t="s">
        <v>30</v>
      </c>
      <c r="AI41" s="32">
        <v>300</v>
      </c>
      <c r="AJ41" s="32">
        <v>63</v>
      </c>
      <c r="AK41" s="32">
        <v>13200</v>
      </c>
      <c r="AL41" s="1"/>
      <c r="AM41" s="64" t="s">
        <v>247</v>
      </c>
      <c r="AN41" s="28">
        <v>90</v>
      </c>
      <c r="AO41" s="32">
        <v>200</v>
      </c>
      <c r="AP41" s="54">
        <f>1.87*1000</f>
        <v>1870</v>
      </c>
      <c r="AQ41" s="1"/>
      <c r="AR41" s="50">
        <f t="shared" si="116"/>
        <v>119.5</v>
      </c>
      <c r="AS41" s="54">
        <f t="shared" ref="AS41:AS44" si="117">318-63</f>
        <v>255</v>
      </c>
      <c r="AT41" s="54">
        <f t="shared" si="55"/>
        <v>437.5</v>
      </c>
      <c r="AU41" s="1"/>
      <c r="AV41" s="78">
        <f t="shared" si="80"/>
        <v>2.0603448275862069E-2</v>
      </c>
      <c r="AW41" s="81">
        <f t="shared" si="81"/>
        <v>4.3965517241379308E-2</v>
      </c>
      <c r="AX41" s="84">
        <f t="shared" si="82"/>
        <v>18.996562772189563</v>
      </c>
      <c r="AY41" s="87">
        <f t="shared" si="83"/>
        <v>13.80952380952381</v>
      </c>
      <c r="AZ41" s="90">
        <f t="shared" si="84"/>
        <v>0.43</v>
      </c>
      <c r="BA41" s="32">
        <v>1.21</v>
      </c>
      <c r="BB41" s="32">
        <v>80</v>
      </c>
      <c r="BC41" s="54">
        <f t="shared" si="85"/>
        <v>46324.169827622471</v>
      </c>
      <c r="BD41" s="87">
        <f t="shared" si="86"/>
        <v>54.970465152835523</v>
      </c>
      <c r="BE41" s="87">
        <f t="shared" si="87"/>
        <v>107.32502732704823</v>
      </c>
      <c r="BF41" s="57">
        <f t="shared" si="88"/>
        <v>225.29549247988376</v>
      </c>
      <c r="BG41" s="4"/>
      <c r="BH41" s="8">
        <f t="shared" si="89"/>
        <v>3</v>
      </c>
      <c r="BI41" s="8">
        <f t="shared" si="90"/>
        <v>2</v>
      </c>
      <c r="BJ41" s="13">
        <f t="shared" si="91"/>
        <v>57322222.222222224</v>
      </c>
      <c r="BK41" s="12">
        <f t="shared" si="92"/>
        <v>120</v>
      </c>
      <c r="BL41" s="12">
        <f t="shared" si="48"/>
        <v>60</v>
      </c>
      <c r="BM41" s="12">
        <f t="shared" si="93"/>
        <v>15</v>
      </c>
      <c r="BN41" s="12">
        <f t="shared" si="94"/>
        <v>40</v>
      </c>
      <c r="BO41" s="12">
        <f t="shared" si="95"/>
        <v>60</v>
      </c>
      <c r="BP41" s="12">
        <f t="shared" si="96"/>
        <v>80</v>
      </c>
      <c r="BQ41" s="12">
        <f t="shared" si="97"/>
        <v>105</v>
      </c>
      <c r="BR41" s="92">
        <f t="shared" si="98"/>
        <v>1342366666.6666667</v>
      </c>
      <c r="BS41" s="95">
        <f t="shared" si="49"/>
        <v>1399688888.8888891</v>
      </c>
      <c r="BT41" s="98">
        <f t="shared" si="99"/>
        <v>1871100000000</v>
      </c>
      <c r="BU41" s="95">
        <f t="shared" si="100"/>
        <v>880000</v>
      </c>
      <c r="BV41" s="98">
        <f t="shared" si="101"/>
        <v>249480000</v>
      </c>
      <c r="BW41" s="5"/>
      <c r="BX41" s="95">
        <f t="shared" si="102"/>
        <v>276943454002.2663</v>
      </c>
      <c r="BY41" s="98">
        <f t="shared" si="103"/>
        <v>174117435.27910557</v>
      </c>
      <c r="BZ41" s="90">
        <f t="shared" si="104"/>
        <v>0.15471389539841635</v>
      </c>
      <c r="CA41" s="87">
        <f t="shared" si="105"/>
        <v>20.465574915710967</v>
      </c>
      <c r="CB41" s="87">
        <f t="shared" si="106"/>
        <v>189.53442508428904</v>
      </c>
      <c r="CC41" s="43">
        <f t="shared" si="107"/>
        <v>3220.2512962962965</v>
      </c>
      <c r="CD41" s="11">
        <f t="shared" si="108"/>
        <v>0</v>
      </c>
      <c r="CE41" s="1"/>
      <c r="CF41" s="95">
        <f t="shared" si="109"/>
        <v>315343597540.84357</v>
      </c>
      <c r="CG41" s="98">
        <f t="shared" si="110"/>
        <v>198260033.38229772</v>
      </c>
      <c r="CH41" s="105">
        <f t="shared" si="111"/>
        <v>0.1384830181476818</v>
      </c>
      <c r="CI41" s="87">
        <f t="shared" si="112"/>
        <v>21.074006361461805</v>
      </c>
      <c r="CJ41" s="87">
        <f t="shared" si="113"/>
        <v>188.92599363853819</v>
      </c>
      <c r="CK41" s="98">
        <f t="shared" si="114"/>
        <v>3277216384490.4126</v>
      </c>
      <c r="CL41" s="93"/>
    </row>
    <row r="42" spans="1:90" ht="34.9" customHeight="1">
      <c r="A42" s="20"/>
      <c r="B42" s="200"/>
      <c r="C42" s="207"/>
      <c r="D42" s="32" t="s">
        <v>27</v>
      </c>
      <c r="E42" s="32" t="s">
        <v>55</v>
      </c>
      <c r="F42" s="35">
        <v>2021</v>
      </c>
      <c r="G42" s="1"/>
      <c r="H42" s="37" t="s">
        <v>150</v>
      </c>
      <c r="I42" s="32" t="str">
        <f t="shared" si="41"/>
        <v>Discrete</v>
      </c>
      <c r="J42" s="32" t="s">
        <v>69</v>
      </c>
      <c r="K42" s="32" t="s">
        <v>30</v>
      </c>
      <c r="L42" s="38" t="s">
        <v>65</v>
      </c>
      <c r="M42" s="38" t="s">
        <v>265</v>
      </c>
      <c r="N42" s="38" t="s">
        <v>268</v>
      </c>
      <c r="O42" s="38" t="s">
        <v>270</v>
      </c>
      <c r="P42" s="2"/>
      <c r="Q42" s="50">
        <f>(( (2.26*1000)*23*(AE41^3)/1296 )/2)/1000^3</f>
        <v>3912.7784567901235</v>
      </c>
      <c r="R42" s="54">
        <f t="shared" si="58"/>
        <v>4207.749891961188</v>
      </c>
      <c r="S42" s="57">
        <v>154.32679052810747</v>
      </c>
      <c r="T42" s="54">
        <f t="shared" si="79"/>
        <v>225.29549247988376</v>
      </c>
      <c r="U42" s="3" t="s">
        <v>75</v>
      </c>
      <c r="V42" s="28" t="s">
        <v>133</v>
      </c>
      <c r="W42" s="28">
        <f t="shared" si="72"/>
        <v>5</v>
      </c>
      <c r="X42" s="28">
        <v>30</v>
      </c>
      <c r="Y42" s="32">
        <v>20</v>
      </c>
      <c r="Z42" s="32">
        <v>11000</v>
      </c>
      <c r="AA42" s="54">
        <v>690</v>
      </c>
      <c r="AB42" s="32">
        <v>20</v>
      </c>
      <c r="AC42" s="54">
        <f t="shared" si="115"/>
        <v>366.66666666666669</v>
      </c>
      <c r="AD42" s="32">
        <v>30</v>
      </c>
      <c r="AE42" s="32">
        <v>5800</v>
      </c>
      <c r="AF42" s="1"/>
      <c r="AG42" s="28" t="s">
        <v>30</v>
      </c>
      <c r="AH42" s="32" t="s">
        <v>30</v>
      </c>
      <c r="AI42" s="32">
        <v>300</v>
      </c>
      <c r="AJ42" s="32">
        <v>63</v>
      </c>
      <c r="AK42" s="32">
        <v>13200</v>
      </c>
      <c r="AL42" s="1"/>
      <c r="AM42" s="64" t="s">
        <v>250</v>
      </c>
      <c r="AN42" s="28">
        <v>90</v>
      </c>
      <c r="AO42" s="32">
        <v>200</v>
      </c>
      <c r="AP42" s="54">
        <v>4590</v>
      </c>
      <c r="AQ42" s="1"/>
      <c r="AR42" s="50">
        <f t="shared" si="116"/>
        <v>119.5</v>
      </c>
      <c r="AS42" s="54">
        <f t="shared" si="117"/>
        <v>255</v>
      </c>
      <c r="AT42" s="54">
        <f t="shared" si="55"/>
        <v>437.5</v>
      </c>
      <c r="AU42" s="1"/>
      <c r="AV42" s="78">
        <f t="shared" si="80"/>
        <v>2.0603448275862069E-2</v>
      </c>
      <c r="AW42" s="81">
        <f t="shared" si="81"/>
        <v>4.3965517241379308E-2</v>
      </c>
      <c r="AX42" s="84">
        <f t="shared" si="82"/>
        <v>18.996562772189563</v>
      </c>
      <c r="AY42" s="87">
        <f t="shared" si="83"/>
        <v>13.80952380952381</v>
      </c>
      <c r="AZ42" s="90">
        <f t="shared" si="84"/>
        <v>0.43</v>
      </c>
      <c r="BA42" s="32">
        <v>1.21</v>
      </c>
      <c r="BB42" s="32">
        <v>80</v>
      </c>
      <c r="BC42" s="54">
        <f t="shared" si="85"/>
        <v>46324.169827622471</v>
      </c>
      <c r="BD42" s="87">
        <f t="shared" si="86"/>
        <v>54.970465152835523</v>
      </c>
      <c r="BE42" s="87">
        <f t="shared" si="87"/>
        <v>107.32502732704823</v>
      </c>
      <c r="BF42" s="57">
        <f t="shared" si="88"/>
        <v>225.29549247988376</v>
      </c>
      <c r="BG42" s="4"/>
      <c r="BH42" s="8">
        <f t="shared" si="89"/>
        <v>3</v>
      </c>
      <c r="BI42" s="8">
        <f t="shared" si="90"/>
        <v>2</v>
      </c>
      <c r="BJ42" s="13">
        <f t="shared" si="91"/>
        <v>57322222.222222224</v>
      </c>
      <c r="BK42" s="12">
        <f t="shared" si="92"/>
        <v>120</v>
      </c>
      <c r="BL42" s="12">
        <f t="shared" si="48"/>
        <v>60</v>
      </c>
      <c r="BM42" s="12">
        <f t="shared" si="93"/>
        <v>15</v>
      </c>
      <c r="BN42" s="12">
        <f t="shared" si="94"/>
        <v>40</v>
      </c>
      <c r="BO42" s="12">
        <f t="shared" si="95"/>
        <v>60</v>
      </c>
      <c r="BP42" s="12">
        <f t="shared" si="96"/>
        <v>80</v>
      </c>
      <c r="BQ42" s="12">
        <f t="shared" si="97"/>
        <v>105</v>
      </c>
      <c r="BR42" s="92">
        <f t="shared" si="98"/>
        <v>1342366666.6666667</v>
      </c>
      <c r="BS42" s="95">
        <f t="shared" si="49"/>
        <v>1399688888.8888891</v>
      </c>
      <c r="BT42" s="98">
        <f t="shared" si="99"/>
        <v>1871100000000</v>
      </c>
      <c r="BU42" s="95">
        <f t="shared" si="100"/>
        <v>880000</v>
      </c>
      <c r="BV42" s="98">
        <f t="shared" si="101"/>
        <v>249480000</v>
      </c>
      <c r="BW42" s="5"/>
      <c r="BX42" s="95">
        <f t="shared" si="102"/>
        <v>216009493960.07507</v>
      </c>
      <c r="BY42" s="98">
        <f t="shared" si="103"/>
        <v>135807575.66473457</v>
      </c>
      <c r="BZ42" s="90">
        <f t="shared" si="104"/>
        <v>0.36547820281236981</v>
      </c>
      <c r="CA42" s="87">
        <f t="shared" si="105"/>
        <v>34.847128946592683</v>
      </c>
      <c r="CB42" s="87">
        <f t="shared" si="106"/>
        <v>175.15287105340732</v>
      </c>
      <c r="CC42" s="43">
        <f t="shared" si="107"/>
        <v>3912.7784571752231</v>
      </c>
      <c r="CD42" s="11">
        <f t="shared" si="108"/>
        <v>-3.8509961086674593E-7</v>
      </c>
      <c r="CE42" s="1"/>
      <c r="CF42" s="95">
        <f t="shared" si="109"/>
        <v>315343597540.84357</v>
      </c>
      <c r="CG42" s="98">
        <f t="shared" si="110"/>
        <v>198260033.38229772</v>
      </c>
      <c r="CH42" s="105">
        <f t="shared" si="111"/>
        <v>0.28292360495289309</v>
      </c>
      <c r="CI42" s="87">
        <f t="shared" si="112"/>
        <v>40.914496188717884</v>
      </c>
      <c r="CJ42" s="87">
        <f t="shared" si="113"/>
        <v>169.08550381128211</v>
      </c>
      <c r="CK42" s="98">
        <f t="shared" si="114"/>
        <v>4207749891961.1885</v>
      </c>
      <c r="CL42" s="93"/>
    </row>
    <row r="43" spans="1:90" ht="34.9" customHeight="1">
      <c r="A43" s="20"/>
      <c r="B43" s="200"/>
      <c r="C43" s="207"/>
      <c r="D43" s="32" t="s">
        <v>27</v>
      </c>
      <c r="E43" s="32" t="s">
        <v>173</v>
      </c>
      <c r="F43" s="35">
        <v>2021</v>
      </c>
      <c r="G43" s="1"/>
      <c r="H43" s="37" t="s">
        <v>150</v>
      </c>
      <c r="I43" s="32" t="str">
        <f t="shared" si="41"/>
        <v>Discrete</v>
      </c>
      <c r="J43" s="32" t="s">
        <v>69</v>
      </c>
      <c r="K43" s="32" t="s">
        <v>30</v>
      </c>
      <c r="L43" s="38" t="s">
        <v>65</v>
      </c>
      <c r="M43" s="38" t="s">
        <v>265</v>
      </c>
      <c r="N43" s="38" t="s">
        <v>268</v>
      </c>
      <c r="O43" s="38" t="s">
        <v>270</v>
      </c>
      <c r="P43" s="2"/>
      <c r="Q43" s="50">
        <f>(( (2.51*1000)*23*(AE41^3)/1296 )/2)/1000^3</f>
        <v>4345.6079320987656</v>
      </c>
      <c r="R43" s="54">
        <f t="shared" si="58"/>
        <v>4326.9220977952709</v>
      </c>
      <c r="S43" s="57">
        <v>230.36658115469862</v>
      </c>
      <c r="T43" s="54">
        <f t="shared" si="79"/>
        <v>225.29549247988376</v>
      </c>
      <c r="U43" s="3" t="s">
        <v>75</v>
      </c>
      <c r="V43" s="28" t="s">
        <v>133</v>
      </c>
      <c r="W43" s="28">
        <f t="shared" si="72"/>
        <v>5</v>
      </c>
      <c r="X43" s="28">
        <v>30</v>
      </c>
      <c r="Y43" s="32">
        <v>20</v>
      </c>
      <c r="Z43" s="32">
        <v>11000</v>
      </c>
      <c r="AA43" s="54">
        <v>690</v>
      </c>
      <c r="AB43" s="32">
        <v>20</v>
      </c>
      <c r="AC43" s="54">
        <f t="shared" si="115"/>
        <v>366.66666666666669</v>
      </c>
      <c r="AD43" s="32">
        <v>30</v>
      </c>
      <c r="AE43" s="32">
        <v>5800</v>
      </c>
      <c r="AF43" s="1"/>
      <c r="AG43" s="28" t="s">
        <v>30</v>
      </c>
      <c r="AH43" s="32" t="s">
        <v>30</v>
      </c>
      <c r="AI43" s="32">
        <v>300</v>
      </c>
      <c r="AJ43" s="32">
        <v>63</v>
      </c>
      <c r="AK43" s="32">
        <v>13200</v>
      </c>
      <c r="AL43" s="1"/>
      <c r="AM43" s="64" t="s">
        <v>248</v>
      </c>
      <c r="AN43" s="28">
        <v>90</v>
      </c>
      <c r="AO43" s="32">
        <v>250</v>
      </c>
      <c r="AP43" s="54">
        <v>6350</v>
      </c>
      <c r="AQ43" s="1"/>
      <c r="AR43" s="50">
        <f t="shared" si="116"/>
        <v>119.5</v>
      </c>
      <c r="AS43" s="54">
        <f t="shared" si="117"/>
        <v>255</v>
      </c>
      <c r="AT43" s="54">
        <f t="shared" si="55"/>
        <v>437.5</v>
      </c>
      <c r="AU43" s="1"/>
      <c r="AV43" s="78">
        <f t="shared" si="80"/>
        <v>2.0603448275862069E-2</v>
      </c>
      <c r="AW43" s="81">
        <f t="shared" si="81"/>
        <v>4.3965517241379308E-2</v>
      </c>
      <c r="AX43" s="84">
        <f t="shared" si="82"/>
        <v>18.996562772189563</v>
      </c>
      <c r="AY43" s="87">
        <f t="shared" si="83"/>
        <v>13.80952380952381</v>
      </c>
      <c r="AZ43" s="90">
        <f t="shared" si="84"/>
        <v>0.43</v>
      </c>
      <c r="BA43" s="32">
        <v>1.21</v>
      </c>
      <c r="BB43" s="32">
        <v>80</v>
      </c>
      <c r="BC43" s="54">
        <f t="shared" si="85"/>
        <v>46324.169827622471</v>
      </c>
      <c r="BD43" s="87">
        <f t="shared" si="86"/>
        <v>54.970465152835523</v>
      </c>
      <c r="BE43" s="87">
        <f t="shared" si="87"/>
        <v>107.32502732704823</v>
      </c>
      <c r="BF43" s="57">
        <f t="shared" si="88"/>
        <v>225.29549247988376</v>
      </c>
      <c r="BG43" s="4"/>
      <c r="BH43" s="8">
        <f t="shared" si="89"/>
        <v>3</v>
      </c>
      <c r="BI43" s="8">
        <f t="shared" si="90"/>
        <v>2</v>
      </c>
      <c r="BJ43" s="13">
        <f t="shared" si="91"/>
        <v>57322222.222222224</v>
      </c>
      <c r="BK43" s="12">
        <f t="shared" si="92"/>
        <v>120</v>
      </c>
      <c r="BL43" s="12">
        <f t="shared" si="48"/>
        <v>60</v>
      </c>
      <c r="BM43" s="12">
        <f t="shared" si="93"/>
        <v>15</v>
      </c>
      <c r="BN43" s="12">
        <f t="shared" si="94"/>
        <v>40</v>
      </c>
      <c r="BO43" s="12">
        <f t="shared" si="95"/>
        <v>60</v>
      </c>
      <c r="BP43" s="12">
        <f t="shared" si="96"/>
        <v>80</v>
      </c>
      <c r="BQ43" s="12">
        <f t="shared" si="97"/>
        <v>105</v>
      </c>
      <c r="BR43" s="92">
        <f t="shared" si="98"/>
        <v>1342366666.6666667</v>
      </c>
      <c r="BS43" s="95">
        <f t="shared" si="49"/>
        <v>1399688888.8888891</v>
      </c>
      <c r="BT43" s="98">
        <f t="shared" si="99"/>
        <v>1871100000000</v>
      </c>
      <c r="BU43" s="95">
        <f t="shared" si="100"/>
        <v>880000</v>
      </c>
      <c r="BV43" s="98">
        <f t="shared" si="101"/>
        <v>249480000</v>
      </c>
      <c r="BW43" s="5"/>
      <c r="BX43" s="95">
        <f t="shared" si="102"/>
        <v>322441544013.55219</v>
      </c>
      <c r="BY43" s="98">
        <f t="shared" si="103"/>
        <v>202722591.41613477</v>
      </c>
      <c r="BZ43" s="90">
        <f t="shared" si="104"/>
        <v>0.29925809096261696</v>
      </c>
      <c r="CA43" s="87">
        <f t="shared" si="105"/>
        <v>41.077181278083373</v>
      </c>
      <c r="CB43" s="87">
        <f t="shared" si="106"/>
        <v>168.92281872191663</v>
      </c>
      <c r="CC43" s="43">
        <f t="shared" si="107"/>
        <v>4345.6079329173626</v>
      </c>
      <c r="CD43" s="11">
        <f t="shared" si="108"/>
        <v>-8.1859707279363647E-7</v>
      </c>
      <c r="CE43" s="1"/>
      <c r="CF43" s="95">
        <f t="shared" si="109"/>
        <v>315343597540.84357</v>
      </c>
      <c r="CG43" s="98">
        <f t="shared" si="110"/>
        <v>198260033.38229772</v>
      </c>
      <c r="CH43" s="105">
        <f t="shared" si="111"/>
        <v>0.30394662578884263</v>
      </c>
      <c r="CI43" s="87">
        <f t="shared" si="112"/>
        <v>40.677680963791083</v>
      </c>
      <c r="CJ43" s="87">
        <f t="shared" si="113"/>
        <v>169.32231903620891</v>
      </c>
      <c r="CK43" s="98">
        <f t="shared" si="114"/>
        <v>4326922097795.271</v>
      </c>
      <c r="CL43" s="93"/>
    </row>
    <row r="44" spans="1:90" ht="34.9" customHeight="1">
      <c r="A44" s="20"/>
      <c r="B44" s="200"/>
      <c r="C44" s="208"/>
      <c r="D44" s="36" t="s">
        <v>27</v>
      </c>
      <c r="E44" s="36" t="s">
        <v>31</v>
      </c>
      <c r="F44" s="121">
        <v>2021</v>
      </c>
      <c r="G44" s="1"/>
      <c r="H44" s="114" t="s">
        <v>150</v>
      </c>
      <c r="I44" s="36" t="str">
        <f t="shared" si="41"/>
        <v>Discrete</v>
      </c>
      <c r="J44" s="36" t="s">
        <v>69</v>
      </c>
      <c r="K44" s="36" t="s">
        <v>30</v>
      </c>
      <c r="L44" s="39" t="s">
        <v>65</v>
      </c>
      <c r="M44" s="39" t="s">
        <v>265</v>
      </c>
      <c r="N44" s="39" t="s">
        <v>268</v>
      </c>
      <c r="O44" s="39" t="s">
        <v>270</v>
      </c>
      <c r="P44" s="2"/>
      <c r="Q44" s="51">
        <f>(((2.43*1000)*23*(AE44^3)/1296)/2)/1000^3</f>
        <v>4207.1025</v>
      </c>
      <c r="R44" s="55">
        <f t="shared" si="58"/>
        <v>3660.4134021472505</v>
      </c>
      <c r="S44" s="58">
        <v>387.34493600873657</v>
      </c>
      <c r="T44" s="55">
        <f t="shared" si="79"/>
        <v>210.37483518928127</v>
      </c>
      <c r="U44" s="3" t="s">
        <v>75</v>
      </c>
      <c r="V44" s="29" t="s">
        <v>133</v>
      </c>
      <c r="W44" s="29">
        <f t="shared" si="72"/>
        <v>5</v>
      </c>
      <c r="X44" s="29" t="s">
        <v>14</v>
      </c>
      <c r="Y44" s="36">
        <v>20</v>
      </c>
      <c r="Z44" s="36">
        <v>11000</v>
      </c>
      <c r="AA44" s="55">
        <v>690</v>
      </c>
      <c r="AB44" s="36">
        <v>20</v>
      </c>
      <c r="AC44" s="55">
        <f t="shared" si="115"/>
        <v>366.66666666666669</v>
      </c>
      <c r="AD44" s="36">
        <v>20</v>
      </c>
      <c r="AE44" s="36">
        <v>5800</v>
      </c>
      <c r="AF44" s="1"/>
      <c r="AG44" s="29" t="s">
        <v>30</v>
      </c>
      <c r="AH44" s="36" t="s">
        <v>30</v>
      </c>
      <c r="AI44" s="36">
        <v>300</v>
      </c>
      <c r="AJ44" s="36">
        <v>45</v>
      </c>
      <c r="AK44" s="36">
        <v>13200</v>
      </c>
      <c r="AL44" s="1"/>
      <c r="AM44" s="66" t="s">
        <v>236</v>
      </c>
      <c r="AN44" s="29">
        <v>45</v>
      </c>
      <c r="AO44" s="36">
        <v>200</v>
      </c>
      <c r="AP44" s="55">
        <f>1000*9.88</f>
        <v>9880</v>
      </c>
      <c r="AQ44" s="1"/>
      <c r="AR44" s="51">
        <f>151-63/2</f>
        <v>119.5</v>
      </c>
      <c r="AS44" s="55">
        <f t="shared" si="117"/>
        <v>255</v>
      </c>
      <c r="AT44" s="55">
        <f t="shared" si="55"/>
        <v>419.5</v>
      </c>
      <c r="AU44" s="1"/>
      <c r="AV44" s="79">
        <f t="shared" si="80"/>
        <v>2.0603448275862069E-2</v>
      </c>
      <c r="AW44" s="82">
        <f t="shared" si="81"/>
        <v>4.3965517241379308E-2</v>
      </c>
      <c r="AX44" s="85">
        <f t="shared" si="82"/>
        <v>14.17650235611517</v>
      </c>
      <c r="AY44" s="88">
        <f t="shared" si="83"/>
        <v>14.5</v>
      </c>
      <c r="AZ44" s="91">
        <f t="shared" si="84"/>
        <v>0.43</v>
      </c>
      <c r="BA44" s="36">
        <v>1.21</v>
      </c>
      <c r="BB44" s="36">
        <v>80</v>
      </c>
      <c r="BC44" s="55">
        <f t="shared" si="85"/>
        <v>46555.912270934918</v>
      </c>
      <c r="BD44" s="88">
        <f t="shared" si="86"/>
        <v>55.560251417864521</v>
      </c>
      <c r="BE44" s="88">
        <f t="shared" si="87"/>
        <v>109.81458377141675</v>
      </c>
      <c r="BF44" s="58">
        <f t="shared" si="88"/>
        <v>210.37483518928127</v>
      </c>
      <c r="BG44" s="4"/>
      <c r="BH44" s="115">
        <f t="shared" si="89"/>
        <v>3</v>
      </c>
      <c r="BI44" s="115">
        <f t="shared" si="90"/>
        <v>2</v>
      </c>
      <c r="BJ44" s="116">
        <f t="shared" si="91"/>
        <v>22488888.888888888</v>
      </c>
      <c r="BK44" s="117">
        <f t="shared" si="92"/>
        <v>100</v>
      </c>
      <c r="BL44" s="117">
        <f t="shared" si="48"/>
        <v>50</v>
      </c>
      <c r="BM44" s="117">
        <f t="shared" si="93"/>
        <v>10</v>
      </c>
      <c r="BN44" s="117">
        <f t="shared" si="94"/>
        <v>30</v>
      </c>
      <c r="BO44" s="117">
        <f t="shared" si="95"/>
        <v>50</v>
      </c>
      <c r="BP44" s="117">
        <f t="shared" si="96"/>
        <v>70</v>
      </c>
      <c r="BQ44" s="117">
        <f t="shared" si="97"/>
        <v>90</v>
      </c>
      <c r="BR44" s="118">
        <f t="shared" si="98"/>
        <v>709866666.66666663</v>
      </c>
      <c r="BS44" s="96">
        <f t="shared" si="49"/>
        <v>732355555.55555546</v>
      </c>
      <c r="BT44" s="99">
        <f t="shared" si="99"/>
        <v>1336500000000</v>
      </c>
      <c r="BU44" s="96">
        <f t="shared" si="100"/>
        <v>660000</v>
      </c>
      <c r="BV44" s="99">
        <f t="shared" si="101"/>
        <v>178200000</v>
      </c>
      <c r="BW44" s="5"/>
      <c r="BX44" s="96">
        <f t="shared" si="102"/>
        <v>283674215802.30933</v>
      </c>
      <c r="BY44" s="99">
        <f t="shared" si="103"/>
        <v>255647657.76576614</v>
      </c>
      <c r="BZ44" s="91">
        <f t="shared" si="104"/>
        <v>0.39709270643314903</v>
      </c>
      <c r="CA44" s="88">
        <f t="shared" si="105"/>
        <v>72.58496870216311</v>
      </c>
      <c r="CB44" s="88">
        <f t="shared" si="106"/>
        <v>127.41503129783689</v>
      </c>
      <c r="CC44" s="119">
        <f t="shared" si="107"/>
        <v>4207.1025003474024</v>
      </c>
      <c r="CD44" s="120">
        <f t="shared" si="108"/>
        <v>-3.4740241972031072E-7</v>
      </c>
      <c r="CE44" s="1"/>
      <c r="CF44" s="96">
        <f t="shared" si="109"/>
        <v>154069179299.9545</v>
      </c>
      <c r="CG44" s="99">
        <f t="shared" si="110"/>
        <v>138847391.22492564</v>
      </c>
      <c r="CH44" s="106">
        <f t="shared" si="111"/>
        <v>0.54805893991465315</v>
      </c>
      <c r="CI44" s="88">
        <f t="shared" si="112"/>
        <v>47.812860291124352</v>
      </c>
      <c r="CJ44" s="88">
        <f t="shared" si="113"/>
        <v>152.18713970887563</v>
      </c>
      <c r="CK44" s="99">
        <f t="shared" si="114"/>
        <v>3660413402147.2505</v>
      </c>
      <c r="CL44" s="93"/>
    </row>
    <row r="45" spans="1:90" ht="34.9" customHeight="1">
      <c r="A45" s="20"/>
      <c r="B45" s="200" t="s">
        <v>286</v>
      </c>
      <c r="C45" s="206" t="s">
        <v>304</v>
      </c>
      <c r="D45" s="31" t="s">
        <v>22</v>
      </c>
      <c r="E45" s="31" t="s">
        <v>23</v>
      </c>
      <c r="F45" s="108">
        <v>2021</v>
      </c>
      <c r="G45" s="1"/>
      <c r="H45" s="109" t="s">
        <v>149</v>
      </c>
      <c r="I45" s="31" t="str">
        <f t="shared" si="41"/>
        <v>Glue</v>
      </c>
      <c r="J45" s="31" t="s">
        <v>70</v>
      </c>
      <c r="K45" s="31" t="s">
        <v>72</v>
      </c>
      <c r="L45" s="110" t="s">
        <v>65</v>
      </c>
      <c r="M45" s="110" t="s">
        <v>264</v>
      </c>
      <c r="N45" s="145" t="s">
        <v>67</v>
      </c>
      <c r="O45" s="145" t="s">
        <v>270</v>
      </c>
      <c r="P45" s="2"/>
      <c r="Q45" s="49">
        <f>24.2*10^3</f>
        <v>24200</v>
      </c>
      <c r="R45" s="53">
        <f t="shared" si="58"/>
        <v>17430.248773211384</v>
      </c>
      <c r="S45" s="56">
        <v>1385.8596315783882</v>
      </c>
      <c r="T45" s="53">
        <f t="shared" si="79"/>
        <v>465.55951352056218</v>
      </c>
      <c r="U45" s="3" t="s">
        <v>75</v>
      </c>
      <c r="V45" s="27" t="s">
        <v>133</v>
      </c>
      <c r="W45" s="27">
        <f t="shared" si="72"/>
        <v>3</v>
      </c>
      <c r="X45" s="27" t="s">
        <v>14</v>
      </c>
      <c r="Y45" s="31">
        <v>40</v>
      </c>
      <c r="Z45" s="31">
        <v>12500</v>
      </c>
      <c r="AA45" s="53">
        <f t="shared" ref="AA45:AA47" si="118">Z45/16</f>
        <v>781.25</v>
      </c>
      <c r="AB45" s="31">
        <v>40</v>
      </c>
      <c r="AC45" s="53">
        <f>12500/30</f>
        <v>416.66666666666669</v>
      </c>
      <c r="AD45" s="31">
        <f>MAX(Y45,AB45)</f>
        <v>40</v>
      </c>
      <c r="AE45" s="31">
        <v>5200</v>
      </c>
      <c r="AF45" s="1"/>
      <c r="AG45" s="27" t="s">
        <v>72</v>
      </c>
      <c r="AH45" s="31" t="s">
        <v>26</v>
      </c>
      <c r="AI45" s="31">
        <v>280</v>
      </c>
      <c r="AJ45" s="31">
        <v>200</v>
      </c>
      <c r="AK45" s="31">
        <v>11500</v>
      </c>
      <c r="AL45" s="1"/>
      <c r="AM45" s="63" t="s">
        <v>20</v>
      </c>
      <c r="AN45" s="27" t="s">
        <v>14</v>
      </c>
      <c r="AO45" s="31" t="s">
        <v>14</v>
      </c>
      <c r="AP45" s="53" t="s">
        <v>14</v>
      </c>
      <c r="AQ45" s="1"/>
      <c r="AR45" s="49">
        <f>(933-200)/2</f>
        <v>366.5</v>
      </c>
      <c r="AS45" s="53">
        <f>AR45</f>
        <v>366.5</v>
      </c>
      <c r="AT45" s="53">
        <f t="shared" si="55"/>
        <v>933</v>
      </c>
      <c r="AU45" s="1"/>
      <c r="AV45" s="77">
        <f t="shared" si="80"/>
        <v>7.0480769230769236E-2</v>
      </c>
      <c r="AW45" s="80">
        <f t="shared" si="81"/>
        <v>7.0480769230769236E-2</v>
      </c>
      <c r="AX45" s="83">
        <f t="shared" si="82"/>
        <v>25.329218109648064</v>
      </c>
      <c r="AY45" s="86">
        <f t="shared" si="83"/>
        <v>13</v>
      </c>
      <c r="AZ45" s="89">
        <f t="shared" si="84"/>
        <v>0.53</v>
      </c>
      <c r="BA45" s="31">
        <v>1.21</v>
      </c>
      <c r="BB45" s="31">
        <v>80</v>
      </c>
      <c r="BC45" s="53">
        <f t="shared" si="85"/>
        <v>39480.097477588286</v>
      </c>
      <c r="BD45" s="86">
        <f t="shared" si="86"/>
        <v>132.77975676028109</v>
      </c>
      <c r="BE45" s="86">
        <f t="shared" si="87"/>
        <v>132.77975676028109</v>
      </c>
      <c r="BF45" s="56">
        <f t="shared" si="88"/>
        <v>465.55951352056218</v>
      </c>
      <c r="BG45" s="4"/>
      <c r="BH45" s="23">
        <f t="shared" si="89"/>
        <v>2</v>
      </c>
      <c r="BI45" s="23">
        <f t="shared" si="90"/>
        <v>1</v>
      </c>
      <c r="BJ45" s="30">
        <f t="shared" si="91"/>
        <v>135555555.55555555</v>
      </c>
      <c r="BK45" s="75">
        <f t="shared" si="92"/>
        <v>120</v>
      </c>
      <c r="BL45" s="75">
        <f t="shared" si="48"/>
        <v>60</v>
      </c>
      <c r="BM45" s="75">
        <f t="shared" si="93"/>
        <v>20</v>
      </c>
      <c r="BN45" s="75">
        <f t="shared" si="94"/>
        <v>60</v>
      </c>
      <c r="BO45" s="75">
        <f t="shared" si="95"/>
        <v>100</v>
      </c>
      <c r="BP45" s="75">
        <f t="shared" si="96"/>
        <v>0</v>
      </c>
      <c r="BQ45" s="75">
        <f t="shared" si="97"/>
        <v>0</v>
      </c>
      <c r="BR45" s="113">
        <f t="shared" si="98"/>
        <v>1600000000</v>
      </c>
      <c r="BS45" s="94">
        <f t="shared" si="49"/>
        <v>1735555555.5555556</v>
      </c>
      <c r="BT45" s="97">
        <f t="shared" si="99"/>
        <v>4207466666666.667</v>
      </c>
      <c r="BU45" s="94">
        <f t="shared" si="100"/>
        <v>1000000</v>
      </c>
      <c r="BV45" s="97">
        <f t="shared" si="101"/>
        <v>644000000</v>
      </c>
      <c r="BW45" s="5"/>
      <c r="BX45" s="94">
        <f t="shared" si="102"/>
        <v>2405236382806.0469</v>
      </c>
      <c r="BY45" s="97">
        <f t="shared" si="103"/>
        <v>1385859631.5783882</v>
      </c>
      <c r="BZ45" s="89">
        <f t="shared" si="104"/>
        <v>1</v>
      </c>
      <c r="CA45" s="86">
        <f t="shared" si="105"/>
        <v>136.5473365762503</v>
      </c>
      <c r="CB45" s="86">
        <f t="shared" si="106"/>
        <v>63.452663423749698</v>
      </c>
      <c r="CC45" s="46">
        <f t="shared" si="107"/>
        <v>24200.000000493757</v>
      </c>
      <c r="CD45" s="76">
        <f t="shared" si="108"/>
        <v>-4.9375739763490856E-7</v>
      </c>
      <c r="CE45" s="1"/>
      <c r="CF45" s="94">
        <f t="shared" si="109"/>
        <v>808004400132.35352</v>
      </c>
      <c r="CG45" s="97">
        <f t="shared" si="110"/>
        <v>465559513.52056217</v>
      </c>
      <c r="CH45" s="104">
        <f t="shared" si="111"/>
        <v>1</v>
      </c>
      <c r="CI45" s="86">
        <f t="shared" si="112"/>
        <v>45.871104216063458</v>
      </c>
      <c r="CJ45" s="86">
        <f t="shared" si="113"/>
        <v>154.12889578393654</v>
      </c>
      <c r="CK45" s="97">
        <f t="shared" si="114"/>
        <v>17430248773211.383</v>
      </c>
      <c r="CL45" s="93"/>
    </row>
    <row r="46" spans="1:90" ht="34.9" customHeight="1">
      <c r="A46" s="20"/>
      <c r="B46" s="200"/>
      <c r="C46" s="207"/>
      <c r="D46" s="32" t="s">
        <v>22</v>
      </c>
      <c r="E46" s="32" t="s">
        <v>24</v>
      </c>
      <c r="F46" s="35">
        <v>2021</v>
      </c>
      <c r="G46" s="1"/>
      <c r="H46" s="37" t="s">
        <v>149</v>
      </c>
      <c r="I46" s="32" t="str">
        <f t="shared" si="41"/>
        <v>Glue</v>
      </c>
      <c r="J46" s="32" t="s">
        <v>70</v>
      </c>
      <c r="K46" s="32" t="s">
        <v>72</v>
      </c>
      <c r="L46" s="38" t="s">
        <v>65</v>
      </c>
      <c r="M46" s="38" t="s">
        <v>264</v>
      </c>
      <c r="N46" s="41" t="s">
        <v>67</v>
      </c>
      <c r="O46" s="41" t="s">
        <v>270</v>
      </c>
      <c r="P46" s="2"/>
      <c r="Q46" s="50">
        <f>20.9*10^3</f>
        <v>20900</v>
      </c>
      <c r="R46" s="54">
        <f t="shared" si="58"/>
        <v>16470.034959045621</v>
      </c>
      <c r="S46" s="57">
        <v>913.3168155365629</v>
      </c>
      <c r="T46" s="54">
        <f t="shared" si="79"/>
        <v>465.55951352056218</v>
      </c>
      <c r="U46" s="3" t="s">
        <v>75</v>
      </c>
      <c r="V46" s="28" t="s">
        <v>133</v>
      </c>
      <c r="W46" s="28">
        <f t="shared" si="72"/>
        <v>3</v>
      </c>
      <c r="X46" s="28" t="s">
        <v>14</v>
      </c>
      <c r="Y46" s="32">
        <v>40</v>
      </c>
      <c r="Z46" s="32">
        <v>12500</v>
      </c>
      <c r="AA46" s="54">
        <f t="shared" si="118"/>
        <v>781.25</v>
      </c>
      <c r="AB46" s="32">
        <v>40</v>
      </c>
      <c r="AC46" s="54">
        <f t="shared" ref="AC46:AC62" si="119">12500/30</f>
        <v>416.66666666666669</v>
      </c>
      <c r="AD46" s="32">
        <f>MAX(Y46,AB46)</f>
        <v>40</v>
      </c>
      <c r="AE46" s="32">
        <v>5200</v>
      </c>
      <c r="AF46" s="1"/>
      <c r="AG46" s="28" t="s">
        <v>72</v>
      </c>
      <c r="AH46" s="32" t="s">
        <v>26</v>
      </c>
      <c r="AI46" s="32">
        <v>280</v>
      </c>
      <c r="AJ46" s="32">
        <v>200</v>
      </c>
      <c r="AK46" s="32">
        <v>11500</v>
      </c>
      <c r="AL46" s="1"/>
      <c r="AM46" s="64" t="s">
        <v>20</v>
      </c>
      <c r="AN46" s="28" t="s">
        <v>14</v>
      </c>
      <c r="AO46" s="32" t="s">
        <v>14</v>
      </c>
      <c r="AP46" s="54" t="s">
        <v>14</v>
      </c>
      <c r="AQ46" s="1"/>
      <c r="AR46" s="50">
        <f t="shared" ref="AR46:AR50" si="120">(933-200)/2</f>
        <v>366.5</v>
      </c>
      <c r="AS46" s="54">
        <f t="shared" ref="AS46:AS47" si="121">AR46</f>
        <v>366.5</v>
      </c>
      <c r="AT46" s="54">
        <f t="shared" si="55"/>
        <v>933</v>
      </c>
      <c r="AU46" s="1"/>
      <c r="AV46" s="78">
        <f t="shared" si="80"/>
        <v>7.0480769230769236E-2</v>
      </c>
      <c r="AW46" s="81">
        <f t="shared" si="81"/>
        <v>7.0480769230769236E-2</v>
      </c>
      <c r="AX46" s="84">
        <f t="shared" si="82"/>
        <v>25.329218109648064</v>
      </c>
      <c r="AY46" s="87">
        <f t="shared" si="83"/>
        <v>13</v>
      </c>
      <c r="AZ46" s="90">
        <f t="shared" si="84"/>
        <v>0.53</v>
      </c>
      <c r="BA46" s="32">
        <v>1.21</v>
      </c>
      <c r="BB46" s="32">
        <v>80</v>
      </c>
      <c r="BC46" s="54">
        <f t="shared" si="85"/>
        <v>39480.097477588286</v>
      </c>
      <c r="BD46" s="87">
        <f t="shared" si="86"/>
        <v>132.77975676028109</v>
      </c>
      <c r="BE46" s="87">
        <f t="shared" si="87"/>
        <v>132.77975676028109</v>
      </c>
      <c r="BF46" s="57">
        <f t="shared" si="88"/>
        <v>465.55951352056218</v>
      </c>
      <c r="BG46" s="4"/>
      <c r="BH46" s="8">
        <f t="shared" si="89"/>
        <v>2</v>
      </c>
      <c r="BI46" s="8">
        <f t="shared" si="90"/>
        <v>1</v>
      </c>
      <c r="BJ46" s="13">
        <f t="shared" si="91"/>
        <v>135555555.55555555</v>
      </c>
      <c r="BK46" s="12">
        <f t="shared" si="92"/>
        <v>120</v>
      </c>
      <c r="BL46" s="12">
        <f t="shared" si="48"/>
        <v>60</v>
      </c>
      <c r="BM46" s="12">
        <f t="shared" si="93"/>
        <v>20</v>
      </c>
      <c r="BN46" s="12">
        <f t="shared" si="94"/>
        <v>60</v>
      </c>
      <c r="BO46" s="12">
        <f t="shared" si="95"/>
        <v>100</v>
      </c>
      <c r="BP46" s="12">
        <f t="shared" si="96"/>
        <v>0</v>
      </c>
      <c r="BQ46" s="12">
        <f t="shared" si="97"/>
        <v>0</v>
      </c>
      <c r="BR46" s="92">
        <f t="shared" si="98"/>
        <v>1600000000</v>
      </c>
      <c r="BS46" s="95">
        <f t="shared" si="49"/>
        <v>1735555555.5555556</v>
      </c>
      <c r="BT46" s="98">
        <f t="shared" si="99"/>
        <v>4207466666666.667</v>
      </c>
      <c r="BU46" s="95">
        <f t="shared" si="100"/>
        <v>1000000</v>
      </c>
      <c r="BV46" s="98">
        <f t="shared" si="101"/>
        <v>644000000</v>
      </c>
      <c r="BW46" s="5"/>
      <c r="BX46" s="95">
        <f t="shared" si="102"/>
        <v>1585112073186.7903</v>
      </c>
      <c r="BY46" s="98">
        <f t="shared" si="103"/>
        <v>913316815.53656292</v>
      </c>
      <c r="BZ46" s="90">
        <f t="shared" si="104"/>
        <v>1</v>
      </c>
      <c r="CA46" s="87">
        <f t="shared" si="105"/>
        <v>117.2936433261187</v>
      </c>
      <c r="CB46" s="87">
        <f t="shared" si="106"/>
        <v>82.706356673881302</v>
      </c>
      <c r="CC46" s="43">
        <f t="shared" si="107"/>
        <v>20900.000000257547</v>
      </c>
      <c r="CD46" s="11">
        <f t="shared" si="108"/>
        <v>-2.5754707166925073E-7</v>
      </c>
      <c r="CE46" s="1"/>
      <c r="CF46" s="95">
        <f t="shared" si="109"/>
        <v>808004400132.35352</v>
      </c>
      <c r="CG46" s="98">
        <f t="shared" si="110"/>
        <v>465559513.52056217</v>
      </c>
      <c r="CH46" s="105">
        <f t="shared" si="111"/>
        <v>1</v>
      </c>
      <c r="CI46" s="87">
        <f t="shared" si="112"/>
        <v>59.789955245574966</v>
      </c>
      <c r="CJ46" s="87">
        <f t="shared" si="113"/>
        <v>140.21004475442504</v>
      </c>
      <c r="CK46" s="98">
        <f t="shared" si="114"/>
        <v>16470034959045.621</v>
      </c>
      <c r="CL46" s="93"/>
    </row>
    <row r="47" spans="1:90" ht="34.9" customHeight="1">
      <c r="A47" s="20"/>
      <c r="B47" s="200"/>
      <c r="C47" s="207"/>
      <c r="D47" s="32" t="s">
        <v>22</v>
      </c>
      <c r="E47" s="32" t="s">
        <v>25</v>
      </c>
      <c r="F47" s="35">
        <v>2021</v>
      </c>
      <c r="G47" s="1"/>
      <c r="H47" s="37" t="s">
        <v>149</v>
      </c>
      <c r="I47" s="32" t="str">
        <f t="shared" si="41"/>
        <v>Glue</v>
      </c>
      <c r="J47" s="32" t="s">
        <v>70</v>
      </c>
      <c r="K47" s="32" t="s">
        <v>72</v>
      </c>
      <c r="L47" s="38" t="s">
        <v>65</v>
      </c>
      <c r="M47" s="38" t="s">
        <v>264</v>
      </c>
      <c r="N47" s="41" t="s">
        <v>67</v>
      </c>
      <c r="O47" s="41" t="s">
        <v>270</v>
      </c>
      <c r="P47" s="2"/>
      <c r="Q47" s="50">
        <f>19.1*10^3</f>
        <v>19100</v>
      </c>
      <c r="R47" s="54">
        <f t="shared" si="58"/>
        <v>16103.429208896649</v>
      </c>
      <c r="S47" s="57">
        <v>724.26180549725302</v>
      </c>
      <c r="T47" s="54">
        <f t="shared" si="79"/>
        <v>465.55951352056218</v>
      </c>
      <c r="U47" s="3" t="s">
        <v>75</v>
      </c>
      <c r="V47" s="28" t="s">
        <v>133</v>
      </c>
      <c r="W47" s="28">
        <f t="shared" si="72"/>
        <v>3</v>
      </c>
      <c r="X47" s="28" t="s">
        <v>14</v>
      </c>
      <c r="Y47" s="32">
        <v>40</v>
      </c>
      <c r="Z47" s="32">
        <v>12500</v>
      </c>
      <c r="AA47" s="54">
        <f t="shared" si="118"/>
        <v>781.25</v>
      </c>
      <c r="AB47" s="32">
        <v>40</v>
      </c>
      <c r="AC47" s="54">
        <f t="shared" si="119"/>
        <v>416.66666666666669</v>
      </c>
      <c r="AD47" s="32">
        <f>MAX(Y47,AB47)</f>
        <v>40</v>
      </c>
      <c r="AE47" s="32">
        <v>5200</v>
      </c>
      <c r="AF47" s="1"/>
      <c r="AG47" s="28" t="s">
        <v>72</v>
      </c>
      <c r="AH47" s="32" t="s">
        <v>26</v>
      </c>
      <c r="AI47" s="32">
        <v>280</v>
      </c>
      <c r="AJ47" s="32">
        <v>200</v>
      </c>
      <c r="AK47" s="32">
        <v>11500</v>
      </c>
      <c r="AL47" s="1"/>
      <c r="AM47" s="64" t="s">
        <v>20</v>
      </c>
      <c r="AN47" s="28" t="s">
        <v>14</v>
      </c>
      <c r="AO47" s="32" t="s">
        <v>14</v>
      </c>
      <c r="AP47" s="54" t="s">
        <v>14</v>
      </c>
      <c r="AQ47" s="1"/>
      <c r="AR47" s="50">
        <f t="shared" si="120"/>
        <v>366.5</v>
      </c>
      <c r="AS47" s="54">
        <f t="shared" si="121"/>
        <v>366.5</v>
      </c>
      <c r="AT47" s="54">
        <f t="shared" si="55"/>
        <v>933</v>
      </c>
      <c r="AU47" s="1"/>
      <c r="AV47" s="78">
        <f t="shared" si="80"/>
        <v>7.0480769230769236E-2</v>
      </c>
      <c r="AW47" s="81">
        <f t="shared" si="81"/>
        <v>7.0480769230769236E-2</v>
      </c>
      <c r="AX47" s="84">
        <f t="shared" si="82"/>
        <v>25.329218109648064</v>
      </c>
      <c r="AY47" s="87">
        <f t="shared" si="83"/>
        <v>13</v>
      </c>
      <c r="AZ47" s="90">
        <f t="shared" si="84"/>
        <v>0.53</v>
      </c>
      <c r="BA47" s="32">
        <v>1.21</v>
      </c>
      <c r="BB47" s="32">
        <v>80</v>
      </c>
      <c r="BC47" s="54">
        <f t="shared" si="85"/>
        <v>39480.097477588286</v>
      </c>
      <c r="BD47" s="87">
        <f t="shared" si="86"/>
        <v>132.77975676028109</v>
      </c>
      <c r="BE47" s="87">
        <f t="shared" si="87"/>
        <v>132.77975676028109</v>
      </c>
      <c r="BF47" s="57">
        <f t="shared" si="88"/>
        <v>465.55951352056218</v>
      </c>
      <c r="BG47" s="4"/>
      <c r="BH47" s="8">
        <f t="shared" si="89"/>
        <v>2</v>
      </c>
      <c r="BI47" s="8">
        <f t="shared" si="90"/>
        <v>1</v>
      </c>
      <c r="BJ47" s="13">
        <f t="shared" si="91"/>
        <v>135555555.55555555</v>
      </c>
      <c r="BK47" s="12">
        <f t="shared" si="92"/>
        <v>120</v>
      </c>
      <c r="BL47" s="12">
        <f t="shared" si="48"/>
        <v>60</v>
      </c>
      <c r="BM47" s="12">
        <f t="shared" si="93"/>
        <v>20</v>
      </c>
      <c r="BN47" s="12">
        <f t="shared" si="94"/>
        <v>60</v>
      </c>
      <c r="BO47" s="12">
        <f t="shared" si="95"/>
        <v>100</v>
      </c>
      <c r="BP47" s="12">
        <f t="shared" si="96"/>
        <v>0</v>
      </c>
      <c r="BQ47" s="12">
        <f t="shared" si="97"/>
        <v>0</v>
      </c>
      <c r="BR47" s="92">
        <f t="shared" si="98"/>
        <v>1600000000</v>
      </c>
      <c r="BS47" s="95">
        <f t="shared" si="49"/>
        <v>1735555555.5555556</v>
      </c>
      <c r="BT47" s="98">
        <f t="shared" si="99"/>
        <v>4207466666666.667</v>
      </c>
      <c r="BU47" s="95">
        <f t="shared" si="100"/>
        <v>1000000</v>
      </c>
      <c r="BV47" s="98">
        <f t="shared" si="101"/>
        <v>644000000</v>
      </c>
      <c r="BW47" s="5"/>
      <c r="BX47" s="95">
        <f t="shared" si="102"/>
        <v>1256996600207.4546</v>
      </c>
      <c r="BY47" s="98">
        <f t="shared" si="103"/>
        <v>724261805.49725306</v>
      </c>
      <c r="BZ47" s="90">
        <f t="shared" si="104"/>
        <v>1</v>
      </c>
      <c r="CA47" s="87">
        <f t="shared" si="105"/>
        <v>105.86596842612913</v>
      </c>
      <c r="CB47" s="87">
        <f t="shared" si="106"/>
        <v>94.134031573870871</v>
      </c>
      <c r="CC47" s="43">
        <f t="shared" si="107"/>
        <v>19100.000000159554</v>
      </c>
      <c r="CD47" s="11">
        <f t="shared" si="108"/>
        <v>-1.5955447452142835E-7</v>
      </c>
      <c r="CE47" s="1"/>
      <c r="CF47" s="95">
        <f t="shared" si="109"/>
        <v>808004400132.35352</v>
      </c>
      <c r="CG47" s="98">
        <f t="shared" si="110"/>
        <v>465559513.52056217</v>
      </c>
      <c r="CH47" s="105">
        <f t="shared" si="111"/>
        <v>1</v>
      </c>
      <c r="CI47" s="87">
        <f t="shared" si="112"/>
        <v>68.051232834255543</v>
      </c>
      <c r="CJ47" s="87">
        <f t="shared" si="113"/>
        <v>131.94876716574447</v>
      </c>
      <c r="CK47" s="98">
        <f t="shared" si="114"/>
        <v>16103429208896.648</v>
      </c>
      <c r="CL47" s="93"/>
    </row>
    <row r="48" spans="1:90" ht="34.9" customHeight="1">
      <c r="A48" s="20"/>
      <c r="B48" s="200"/>
      <c r="C48" s="207"/>
      <c r="D48" s="32" t="s">
        <v>22</v>
      </c>
      <c r="E48" s="32" t="s">
        <v>54</v>
      </c>
      <c r="F48" s="35">
        <v>2021</v>
      </c>
      <c r="G48" s="1"/>
      <c r="H48" s="37" t="s">
        <v>149</v>
      </c>
      <c r="I48" s="32" t="str">
        <f t="shared" si="41"/>
        <v>Glue</v>
      </c>
      <c r="J48" s="32" t="s">
        <v>70</v>
      </c>
      <c r="K48" s="32" t="s">
        <v>72</v>
      </c>
      <c r="L48" s="38" t="s">
        <v>65</v>
      </c>
      <c r="M48" s="38" t="s">
        <v>264</v>
      </c>
      <c r="N48" s="41" t="s">
        <v>67</v>
      </c>
      <c r="O48" s="41" t="s">
        <v>270</v>
      </c>
      <c r="P48" s="2"/>
      <c r="Q48" s="50">
        <v>12800</v>
      </c>
      <c r="R48" s="54">
        <f t="shared" ref="R48:R50" si="122">CK48/1000^3</f>
        <v>11760.696357742481</v>
      </c>
      <c r="S48" s="57">
        <v>570.17445805007844</v>
      </c>
      <c r="T48" s="54">
        <f t="shared" si="79"/>
        <v>465.14505869628454</v>
      </c>
      <c r="U48" s="3" t="s">
        <v>75</v>
      </c>
      <c r="V48" s="28" t="s">
        <v>133</v>
      </c>
      <c r="W48" s="28">
        <f t="shared" si="72"/>
        <v>3</v>
      </c>
      <c r="X48" s="28" t="s">
        <v>14</v>
      </c>
      <c r="Y48" s="32">
        <v>40</v>
      </c>
      <c r="Z48" s="32">
        <v>12500</v>
      </c>
      <c r="AA48" s="54">
        <f t="shared" ref="AA48:AA50" si="123">Z48/16</f>
        <v>781.25</v>
      </c>
      <c r="AB48" s="32">
        <v>41</v>
      </c>
      <c r="AC48" s="54">
        <f t="shared" si="119"/>
        <v>416.66666666666669</v>
      </c>
      <c r="AD48" s="32">
        <f t="shared" ref="AD48:AD50" si="124">MAX(Y48,AB48)</f>
        <v>41</v>
      </c>
      <c r="AE48" s="32">
        <v>5200</v>
      </c>
      <c r="AF48" s="1"/>
      <c r="AG48" s="28" t="s">
        <v>72</v>
      </c>
      <c r="AH48" s="32" t="s">
        <v>26</v>
      </c>
      <c r="AI48" s="32">
        <v>240</v>
      </c>
      <c r="AJ48" s="32">
        <v>200</v>
      </c>
      <c r="AK48" s="32">
        <v>11500</v>
      </c>
      <c r="AL48" s="1"/>
      <c r="AM48" s="64" t="s">
        <v>20</v>
      </c>
      <c r="AN48" s="28" t="s">
        <v>14</v>
      </c>
      <c r="AO48" s="32" t="s">
        <v>14</v>
      </c>
      <c r="AP48" s="54" t="s">
        <v>14</v>
      </c>
      <c r="AQ48" s="1"/>
      <c r="AR48" s="50">
        <f t="shared" si="120"/>
        <v>366.5</v>
      </c>
      <c r="AS48" s="54">
        <f t="shared" ref="AS48:AS50" si="125">AR48</f>
        <v>366.5</v>
      </c>
      <c r="AT48" s="54">
        <f t="shared" si="55"/>
        <v>933</v>
      </c>
      <c r="AU48" s="1"/>
      <c r="AV48" s="78">
        <f t="shared" si="80"/>
        <v>7.0480769230769236E-2</v>
      </c>
      <c r="AW48" s="81">
        <f t="shared" si="81"/>
        <v>7.0480769230769236E-2</v>
      </c>
      <c r="AX48" s="84">
        <f t="shared" si="82"/>
        <v>25.560909430050803</v>
      </c>
      <c r="AY48" s="87">
        <f t="shared" si="83"/>
        <v>14.404432132963988</v>
      </c>
      <c r="AZ48" s="90">
        <f t="shared" si="84"/>
        <v>0.53</v>
      </c>
      <c r="BA48" s="32">
        <v>1.21</v>
      </c>
      <c r="BB48" s="32">
        <v>80</v>
      </c>
      <c r="BC48" s="54">
        <f t="shared" si="85"/>
        <v>39122.238695636755</v>
      </c>
      <c r="BD48" s="87">
        <f t="shared" si="86"/>
        <v>132.57252934814227</v>
      </c>
      <c r="BE48" s="87">
        <f t="shared" si="87"/>
        <v>132.57252934814227</v>
      </c>
      <c r="BF48" s="57">
        <f t="shared" si="88"/>
        <v>465.14505869628454</v>
      </c>
      <c r="BG48" s="4"/>
      <c r="BH48" s="8">
        <f t="shared" si="89"/>
        <v>2</v>
      </c>
      <c r="BI48" s="8">
        <f t="shared" si="90"/>
        <v>1</v>
      </c>
      <c r="BJ48" s="13">
        <f t="shared" si="91"/>
        <v>135726423.6111111</v>
      </c>
      <c r="BK48" s="12">
        <f t="shared" si="92"/>
        <v>121</v>
      </c>
      <c r="BL48" s="12">
        <f t="shared" si="48"/>
        <v>60.5</v>
      </c>
      <c r="BM48" s="12">
        <f t="shared" si="93"/>
        <v>20</v>
      </c>
      <c r="BN48" s="12">
        <f t="shared" si="94"/>
        <v>60.5</v>
      </c>
      <c r="BO48" s="12">
        <f t="shared" si="95"/>
        <v>101</v>
      </c>
      <c r="BP48" s="12">
        <f t="shared" si="96"/>
        <v>0</v>
      </c>
      <c r="BQ48" s="12">
        <f t="shared" si="97"/>
        <v>0</v>
      </c>
      <c r="BR48" s="92">
        <f t="shared" si="98"/>
        <v>1640250000</v>
      </c>
      <c r="BS48" s="95">
        <f t="shared" si="49"/>
        <v>1775976423.6111112</v>
      </c>
      <c r="BT48" s="98">
        <f t="shared" si="99"/>
        <v>2649600000000</v>
      </c>
      <c r="BU48" s="95">
        <f t="shared" si="100"/>
        <v>1000000</v>
      </c>
      <c r="BV48" s="98">
        <f t="shared" si="101"/>
        <v>552000000</v>
      </c>
      <c r="BW48" s="5"/>
      <c r="BX48" s="95">
        <f t="shared" si="102"/>
        <v>1012616394842.1819</v>
      </c>
      <c r="BY48" s="98">
        <f t="shared" si="103"/>
        <v>570174458.05007839</v>
      </c>
      <c r="BZ48" s="90">
        <f t="shared" si="104"/>
        <v>1</v>
      </c>
      <c r="CA48" s="87">
        <f t="shared" si="105"/>
        <v>91.711666523643487</v>
      </c>
      <c r="CB48" s="87">
        <f t="shared" si="106"/>
        <v>88.788333476356513</v>
      </c>
      <c r="CC48" s="43">
        <f t="shared" si="107"/>
        <v>12800.000000591926</v>
      </c>
      <c r="CD48" s="11">
        <f t="shared" si="108"/>
        <v>-5.9192643675487489E-7</v>
      </c>
      <c r="CE48" s="1"/>
      <c r="CF48" s="95">
        <f t="shared" si="109"/>
        <v>826086657803.80774</v>
      </c>
      <c r="CG48" s="98">
        <f t="shared" si="110"/>
        <v>465145058.69628453</v>
      </c>
      <c r="CH48" s="105">
        <f t="shared" si="111"/>
        <v>1</v>
      </c>
      <c r="CI48" s="87">
        <f t="shared" si="112"/>
        <v>74.817852511603505</v>
      </c>
      <c r="CJ48" s="87">
        <f t="shared" si="113"/>
        <v>105.6821474883965</v>
      </c>
      <c r="CK48" s="98">
        <f t="shared" si="114"/>
        <v>11760696357742.48</v>
      </c>
      <c r="CL48" s="93"/>
    </row>
    <row r="49" spans="1:90" ht="34.9" customHeight="1">
      <c r="A49" s="20"/>
      <c r="B49" s="200"/>
      <c r="C49" s="207"/>
      <c r="D49" s="32" t="s">
        <v>22</v>
      </c>
      <c r="E49" s="32" t="s">
        <v>28</v>
      </c>
      <c r="F49" s="35">
        <v>2021</v>
      </c>
      <c r="G49" s="1"/>
      <c r="H49" s="37" t="s">
        <v>149</v>
      </c>
      <c r="I49" s="32" t="str">
        <f t="shared" si="41"/>
        <v>Glue</v>
      </c>
      <c r="J49" s="32" t="s">
        <v>70</v>
      </c>
      <c r="K49" s="32" t="s">
        <v>72</v>
      </c>
      <c r="L49" s="38" t="s">
        <v>65</v>
      </c>
      <c r="M49" s="38" t="s">
        <v>264</v>
      </c>
      <c r="N49" s="41" t="s">
        <v>67</v>
      </c>
      <c r="O49" s="41" t="s">
        <v>270</v>
      </c>
      <c r="P49" s="2"/>
      <c r="Q49" s="50">
        <v>12200</v>
      </c>
      <c r="R49" s="54">
        <f t="shared" si="122"/>
        <v>11769.736442146812</v>
      </c>
      <c r="S49" s="57">
        <v>504.33858188226168</v>
      </c>
      <c r="T49" s="54">
        <f t="shared" si="79"/>
        <v>464.73542042026742</v>
      </c>
      <c r="U49" s="3" t="s">
        <v>75</v>
      </c>
      <c r="V49" s="28" t="s">
        <v>133</v>
      </c>
      <c r="W49" s="28">
        <f t="shared" si="72"/>
        <v>3</v>
      </c>
      <c r="X49" s="28" t="s">
        <v>14</v>
      </c>
      <c r="Y49" s="32">
        <v>40</v>
      </c>
      <c r="Z49" s="32">
        <v>12500</v>
      </c>
      <c r="AA49" s="54">
        <f t="shared" si="123"/>
        <v>781.25</v>
      </c>
      <c r="AB49" s="32">
        <v>42</v>
      </c>
      <c r="AC49" s="54">
        <f t="shared" si="119"/>
        <v>416.66666666666669</v>
      </c>
      <c r="AD49" s="32">
        <f t="shared" si="124"/>
        <v>42</v>
      </c>
      <c r="AE49" s="32">
        <v>5200</v>
      </c>
      <c r="AF49" s="1"/>
      <c r="AG49" s="28" t="s">
        <v>72</v>
      </c>
      <c r="AH49" s="32" t="s">
        <v>26</v>
      </c>
      <c r="AI49" s="32">
        <v>240</v>
      </c>
      <c r="AJ49" s="32">
        <v>200</v>
      </c>
      <c r="AK49" s="32">
        <v>11500</v>
      </c>
      <c r="AL49" s="1"/>
      <c r="AM49" s="64" t="s">
        <v>20</v>
      </c>
      <c r="AN49" s="28" t="s">
        <v>14</v>
      </c>
      <c r="AO49" s="32" t="s">
        <v>14</v>
      </c>
      <c r="AP49" s="54" t="s">
        <v>14</v>
      </c>
      <c r="AQ49" s="1"/>
      <c r="AR49" s="50">
        <f t="shared" si="120"/>
        <v>366.5</v>
      </c>
      <c r="AS49" s="54">
        <f t="shared" si="125"/>
        <v>366.5</v>
      </c>
      <c r="AT49" s="54">
        <f t="shared" si="55"/>
        <v>933</v>
      </c>
      <c r="AU49" s="1"/>
      <c r="AV49" s="78">
        <f t="shared" si="80"/>
        <v>7.0480769230769236E-2</v>
      </c>
      <c r="AW49" s="81">
        <f t="shared" si="81"/>
        <v>7.0480769230769236E-2</v>
      </c>
      <c r="AX49" s="84">
        <f t="shared" si="82"/>
        <v>25.791048865634639</v>
      </c>
      <c r="AY49" s="87">
        <f t="shared" si="83"/>
        <v>14.3646408839779</v>
      </c>
      <c r="AZ49" s="90">
        <f t="shared" si="84"/>
        <v>0.53</v>
      </c>
      <c r="BA49" s="32">
        <v>1.21</v>
      </c>
      <c r="BB49" s="32">
        <v>80</v>
      </c>
      <c r="BC49" s="54">
        <f t="shared" si="85"/>
        <v>38773.142000147694</v>
      </c>
      <c r="BD49" s="87">
        <f t="shared" si="86"/>
        <v>132.36771021013371</v>
      </c>
      <c r="BE49" s="87">
        <f t="shared" si="87"/>
        <v>132.36771021013371</v>
      </c>
      <c r="BF49" s="57">
        <f t="shared" si="88"/>
        <v>464.73542042026742</v>
      </c>
      <c r="BG49" s="4"/>
      <c r="BH49" s="8">
        <f t="shared" si="89"/>
        <v>2</v>
      </c>
      <c r="BI49" s="8">
        <f t="shared" si="90"/>
        <v>1</v>
      </c>
      <c r="BJ49" s="13">
        <f t="shared" si="91"/>
        <v>135905833.33333331</v>
      </c>
      <c r="BK49" s="12">
        <f t="shared" si="92"/>
        <v>122</v>
      </c>
      <c r="BL49" s="12">
        <f t="shared" si="48"/>
        <v>61</v>
      </c>
      <c r="BM49" s="12">
        <f t="shared" si="93"/>
        <v>20</v>
      </c>
      <c r="BN49" s="12">
        <f t="shared" si="94"/>
        <v>61</v>
      </c>
      <c r="BO49" s="12">
        <f t="shared" si="95"/>
        <v>102</v>
      </c>
      <c r="BP49" s="12">
        <f t="shared" si="96"/>
        <v>0</v>
      </c>
      <c r="BQ49" s="12">
        <f t="shared" si="97"/>
        <v>0</v>
      </c>
      <c r="BR49" s="92">
        <f t="shared" si="98"/>
        <v>1681000000</v>
      </c>
      <c r="BS49" s="95">
        <f t="shared" si="49"/>
        <v>1816905833.3333333</v>
      </c>
      <c r="BT49" s="98">
        <f t="shared" si="99"/>
        <v>2649600000000</v>
      </c>
      <c r="BU49" s="95">
        <f t="shared" si="100"/>
        <v>1000000</v>
      </c>
      <c r="BV49" s="98">
        <f t="shared" si="101"/>
        <v>552000000</v>
      </c>
      <c r="BW49" s="5"/>
      <c r="BX49" s="95">
        <f t="shared" si="102"/>
        <v>916335711396.94214</v>
      </c>
      <c r="BY49" s="98">
        <f t="shared" si="103"/>
        <v>504338581.88226169</v>
      </c>
      <c r="BZ49" s="90">
        <f t="shared" si="104"/>
        <v>1</v>
      </c>
      <c r="CA49" s="87">
        <f t="shared" si="105"/>
        <v>86.416689578856932</v>
      </c>
      <c r="CB49" s="87">
        <f t="shared" si="106"/>
        <v>94.583310421143068</v>
      </c>
      <c r="CC49" s="43">
        <f t="shared" si="107"/>
        <v>12200.000000599697</v>
      </c>
      <c r="CD49" s="11">
        <f t="shared" si="108"/>
        <v>-5.9969715948682278E-7</v>
      </c>
      <c r="CE49" s="1"/>
      <c r="CF49" s="95">
        <f t="shared" si="109"/>
        <v>844380496318.203</v>
      </c>
      <c r="CG49" s="98">
        <f t="shared" si="110"/>
        <v>464735420.4202674</v>
      </c>
      <c r="CH49" s="105">
        <f t="shared" si="111"/>
        <v>1</v>
      </c>
      <c r="CI49" s="87">
        <f t="shared" si="112"/>
        <v>79.630823429910464</v>
      </c>
      <c r="CJ49" s="87">
        <f t="shared" si="113"/>
        <v>101.36917657008954</v>
      </c>
      <c r="CK49" s="98">
        <f t="shared" si="114"/>
        <v>11769736442146.813</v>
      </c>
      <c r="CL49" s="93"/>
    </row>
    <row r="50" spans="1:90" ht="34.9" customHeight="1">
      <c r="A50" s="20"/>
      <c r="B50" s="200"/>
      <c r="C50" s="208"/>
      <c r="D50" s="36" t="s">
        <v>22</v>
      </c>
      <c r="E50" s="36" t="s">
        <v>29</v>
      </c>
      <c r="F50" s="121">
        <v>2021</v>
      </c>
      <c r="G50" s="1"/>
      <c r="H50" s="114" t="s">
        <v>149</v>
      </c>
      <c r="I50" s="36" t="str">
        <f t="shared" si="41"/>
        <v>Glue</v>
      </c>
      <c r="J50" s="36" t="s">
        <v>70</v>
      </c>
      <c r="K50" s="36" t="s">
        <v>72</v>
      </c>
      <c r="L50" s="39" t="s">
        <v>65</v>
      </c>
      <c r="M50" s="39" t="s">
        <v>264</v>
      </c>
      <c r="N50" s="42" t="s">
        <v>67</v>
      </c>
      <c r="O50" s="42" t="s">
        <v>270</v>
      </c>
      <c r="P50" s="2"/>
      <c r="Q50" s="51">
        <v>12000</v>
      </c>
      <c r="R50" s="55">
        <f t="shared" si="122"/>
        <v>11821.881640107016</v>
      </c>
      <c r="S50" s="58">
        <v>480.05882693959444</v>
      </c>
      <c r="T50" s="55">
        <f t="shared" si="79"/>
        <v>464.33053714548748</v>
      </c>
      <c r="U50" s="3" t="s">
        <v>75</v>
      </c>
      <c r="V50" s="29" t="s">
        <v>133</v>
      </c>
      <c r="W50" s="29">
        <f t="shared" si="72"/>
        <v>3</v>
      </c>
      <c r="X50" s="29" t="s">
        <v>14</v>
      </c>
      <c r="Y50" s="36">
        <v>40</v>
      </c>
      <c r="Z50" s="36">
        <v>12500</v>
      </c>
      <c r="AA50" s="55">
        <f t="shared" si="123"/>
        <v>781.25</v>
      </c>
      <c r="AB50" s="36">
        <v>43</v>
      </c>
      <c r="AC50" s="55">
        <f t="shared" si="119"/>
        <v>416.66666666666669</v>
      </c>
      <c r="AD50" s="36">
        <f t="shared" si="124"/>
        <v>43</v>
      </c>
      <c r="AE50" s="36">
        <v>5200</v>
      </c>
      <c r="AF50" s="1"/>
      <c r="AG50" s="29" t="s">
        <v>72</v>
      </c>
      <c r="AH50" s="36" t="s">
        <v>26</v>
      </c>
      <c r="AI50" s="36">
        <v>240</v>
      </c>
      <c r="AJ50" s="36">
        <v>200</v>
      </c>
      <c r="AK50" s="36">
        <v>11500</v>
      </c>
      <c r="AL50" s="1"/>
      <c r="AM50" s="66" t="s">
        <v>20</v>
      </c>
      <c r="AN50" s="29" t="s">
        <v>14</v>
      </c>
      <c r="AO50" s="36" t="s">
        <v>14</v>
      </c>
      <c r="AP50" s="55" t="s">
        <v>14</v>
      </c>
      <c r="AQ50" s="1"/>
      <c r="AR50" s="51">
        <f t="shared" si="120"/>
        <v>366.5</v>
      </c>
      <c r="AS50" s="55">
        <f t="shared" si="125"/>
        <v>366.5</v>
      </c>
      <c r="AT50" s="55">
        <f t="shared" si="55"/>
        <v>933</v>
      </c>
      <c r="AU50" s="1"/>
      <c r="AV50" s="79">
        <f t="shared" si="80"/>
        <v>7.0480769230769236E-2</v>
      </c>
      <c r="AW50" s="82">
        <f t="shared" si="81"/>
        <v>7.0480769230769236E-2</v>
      </c>
      <c r="AX50" s="85">
        <f t="shared" si="82"/>
        <v>26.019632245295398</v>
      </c>
      <c r="AY50" s="88">
        <f t="shared" si="83"/>
        <v>14.325068870523417</v>
      </c>
      <c r="AZ50" s="91">
        <f t="shared" si="84"/>
        <v>0.53</v>
      </c>
      <c r="BA50" s="36">
        <v>1.21</v>
      </c>
      <c r="BB50" s="36">
        <v>80</v>
      </c>
      <c r="BC50" s="55">
        <f t="shared" si="85"/>
        <v>38432.518591065396</v>
      </c>
      <c r="BD50" s="88">
        <f t="shared" si="86"/>
        <v>132.16526857274374</v>
      </c>
      <c r="BE50" s="88">
        <f t="shared" si="87"/>
        <v>132.16526857274374</v>
      </c>
      <c r="BF50" s="58">
        <f t="shared" si="88"/>
        <v>464.33053714548748</v>
      </c>
      <c r="BG50" s="4"/>
      <c r="BH50" s="115">
        <f t="shared" si="89"/>
        <v>2</v>
      </c>
      <c r="BI50" s="115">
        <f t="shared" si="90"/>
        <v>1</v>
      </c>
      <c r="BJ50" s="116">
        <f t="shared" si="91"/>
        <v>136093993.05555555</v>
      </c>
      <c r="BK50" s="117">
        <f t="shared" si="92"/>
        <v>123</v>
      </c>
      <c r="BL50" s="117">
        <f t="shared" si="48"/>
        <v>61.5</v>
      </c>
      <c r="BM50" s="117">
        <f t="shared" si="93"/>
        <v>20</v>
      </c>
      <c r="BN50" s="117">
        <f t="shared" si="94"/>
        <v>61.5</v>
      </c>
      <c r="BO50" s="117">
        <f t="shared" si="95"/>
        <v>103</v>
      </c>
      <c r="BP50" s="117">
        <f t="shared" si="96"/>
        <v>0</v>
      </c>
      <c r="BQ50" s="117">
        <f t="shared" si="97"/>
        <v>0</v>
      </c>
      <c r="BR50" s="118">
        <f t="shared" si="98"/>
        <v>1722250000</v>
      </c>
      <c r="BS50" s="96">
        <f t="shared" si="49"/>
        <v>1858343993.0555556</v>
      </c>
      <c r="BT50" s="99">
        <f t="shared" si="99"/>
        <v>2649600000000</v>
      </c>
      <c r="BU50" s="96">
        <f t="shared" si="100"/>
        <v>1000000</v>
      </c>
      <c r="BV50" s="99">
        <f t="shared" si="101"/>
        <v>552000000</v>
      </c>
      <c r="BW50" s="5"/>
      <c r="BX50" s="96">
        <f t="shared" si="102"/>
        <v>892114437356.49182</v>
      </c>
      <c r="BY50" s="99">
        <f t="shared" si="103"/>
        <v>480058826.93959445</v>
      </c>
      <c r="BZ50" s="91">
        <f t="shared" si="104"/>
        <v>1</v>
      </c>
      <c r="CA50" s="88">
        <f t="shared" si="105"/>
        <v>84.424138251797615</v>
      </c>
      <c r="CB50" s="88">
        <f t="shared" si="106"/>
        <v>97.075861748202385</v>
      </c>
      <c r="CC50" s="119">
        <f t="shared" si="107"/>
        <v>12000.000000527592</v>
      </c>
      <c r="CD50" s="120">
        <f t="shared" si="108"/>
        <v>-5.2759241953026503E-7</v>
      </c>
      <c r="CE50" s="1"/>
      <c r="CF50" s="96">
        <f t="shared" si="109"/>
        <v>862885864496.57617</v>
      </c>
      <c r="CG50" s="99">
        <f t="shared" si="110"/>
        <v>464330537.14548749</v>
      </c>
      <c r="CH50" s="106">
        <f t="shared" si="111"/>
        <v>1</v>
      </c>
      <c r="CI50" s="88">
        <f t="shared" si="112"/>
        <v>81.658128676456329</v>
      </c>
      <c r="CJ50" s="88">
        <f t="shared" si="113"/>
        <v>99.841871323543671</v>
      </c>
      <c r="CK50" s="99">
        <f t="shared" si="114"/>
        <v>11821881640107.016</v>
      </c>
      <c r="CL50" s="93"/>
    </row>
    <row r="51" spans="1:90" ht="34.9" customHeight="1">
      <c r="A51" s="20"/>
      <c r="B51" s="200" t="s">
        <v>287</v>
      </c>
      <c r="C51" s="206" t="s">
        <v>305</v>
      </c>
      <c r="D51" s="31" t="s">
        <v>127</v>
      </c>
      <c r="E51" s="31" t="s">
        <v>128</v>
      </c>
      <c r="F51" s="108">
        <v>2022</v>
      </c>
      <c r="G51" s="1"/>
      <c r="H51" s="109" t="s">
        <v>149</v>
      </c>
      <c r="I51" s="31" t="str">
        <f t="shared" si="41"/>
        <v>Discrete</v>
      </c>
      <c r="J51" s="31" t="s">
        <v>70</v>
      </c>
      <c r="K51" s="31" t="s">
        <v>30</v>
      </c>
      <c r="L51" s="110" t="s">
        <v>66</v>
      </c>
      <c r="M51" s="110" t="s">
        <v>265</v>
      </c>
      <c r="N51" s="145" t="s">
        <v>268</v>
      </c>
      <c r="O51" s="145" t="s">
        <v>270</v>
      </c>
      <c r="P51" s="2"/>
      <c r="Q51" s="49">
        <f>((1.34*1000)*(AE51^3)/48)/1000^3</f>
        <v>753.75</v>
      </c>
      <c r="R51" s="53">
        <f t="shared" si="58"/>
        <v>815.51062425336158</v>
      </c>
      <c r="S51" s="56">
        <v>94.202281182994483</v>
      </c>
      <c r="T51" s="53">
        <f t="shared" si="79"/>
        <v>268.49441068573481</v>
      </c>
      <c r="U51" s="3" t="s">
        <v>75</v>
      </c>
      <c r="V51" s="27" t="s">
        <v>133</v>
      </c>
      <c r="W51" s="27">
        <v>3</v>
      </c>
      <c r="X51" s="27" t="s">
        <v>14</v>
      </c>
      <c r="Y51" s="31">
        <v>20</v>
      </c>
      <c r="Z51" s="31">
        <v>11000</v>
      </c>
      <c r="AA51" s="53">
        <v>690</v>
      </c>
      <c r="AB51" s="31">
        <v>20</v>
      </c>
      <c r="AC51" s="53">
        <f t="shared" si="119"/>
        <v>416.66666666666669</v>
      </c>
      <c r="AD51" s="31">
        <f t="shared" ref="AD51" si="126">MAX(Y51,AB51)</f>
        <v>20</v>
      </c>
      <c r="AE51" s="31">
        <v>3000</v>
      </c>
      <c r="AF51" s="1"/>
      <c r="AG51" s="27" t="s">
        <v>30</v>
      </c>
      <c r="AH51" s="31" t="s">
        <v>30</v>
      </c>
      <c r="AI51" s="31">
        <v>240</v>
      </c>
      <c r="AJ51" s="31">
        <v>36</v>
      </c>
      <c r="AK51" s="31">
        <v>13200</v>
      </c>
      <c r="AL51" s="1"/>
      <c r="AM51" s="63" t="s">
        <v>249</v>
      </c>
      <c r="AN51" s="27">
        <v>90</v>
      </c>
      <c r="AO51" s="31">
        <v>300</v>
      </c>
      <c r="AP51" s="53">
        <v>3800</v>
      </c>
      <c r="AQ51" s="1"/>
      <c r="AR51" s="49">
        <f t="shared" ref="AR51:AR62" si="127">(AT51-AJ51)/2</f>
        <v>382</v>
      </c>
      <c r="AS51" s="53">
        <f t="shared" ref="AS51:AS55" si="128">AR51</f>
        <v>382</v>
      </c>
      <c r="AT51" s="53">
        <v>800</v>
      </c>
      <c r="AU51" s="1"/>
      <c r="AV51" s="77">
        <f t="shared" si="80"/>
        <v>0.12733333333333333</v>
      </c>
      <c r="AW51" s="80">
        <f t="shared" si="81"/>
        <v>0.12733333333333333</v>
      </c>
      <c r="AX51" s="83">
        <f t="shared" si="82"/>
        <v>16.943215787107508</v>
      </c>
      <c r="AY51" s="86">
        <f t="shared" si="83"/>
        <v>10</v>
      </c>
      <c r="AZ51" s="89">
        <f t="shared" si="84"/>
        <v>0.53</v>
      </c>
      <c r="BA51" s="31">
        <v>1.21</v>
      </c>
      <c r="BB51" s="31">
        <v>80</v>
      </c>
      <c r="BC51" s="53">
        <f t="shared" si="85"/>
        <v>25969.096157932803</v>
      </c>
      <c r="BD51" s="86">
        <f t="shared" si="86"/>
        <v>116.24720534286739</v>
      </c>
      <c r="BE51" s="86">
        <f t="shared" si="87"/>
        <v>116.24720534286739</v>
      </c>
      <c r="BF51" s="56">
        <f t="shared" si="88"/>
        <v>268.49441068573481</v>
      </c>
      <c r="BG51" s="4"/>
      <c r="BH51" s="23">
        <f t="shared" si="89"/>
        <v>2</v>
      </c>
      <c r="BI51" s="23">
        <f t="shared" si="90"/>
        <v>1</v>
      </c>
      <c r="BJ51" s="30">
        <f t="shared" si="91"/>
        <v>14944444.444444444</v>
      </c>
      <c r="BK51" s="75">
        <f t="shared" si="92"/>
        <v>60</v>
      </c>
      <c r="BL51" s="75">
        <f t="shared" si="48"/>
        <v>30</v>
      </c>
      <c r="BM51" s="75">
        <f t="shared" si="93"/>
        <v>10</v>
      </c>
      <c r="BN51" s="75">
        <f t="shared" si="94"/>
        <v>30</v>
      </c>
      <c r="BO51" s="75">
        <f t="shared" si="95"/>
        <v>50</v>
      </c>
      <c r="BP51" s="75">
        <f t="shared" si="96"/>
        <v>0</v>
      </c>
      <c r="BQ51" s="75">
        <f t="shared" si="97"/>
        <v>0</v>
      </c>
      <c r="BR51" s="113">
        <f t="shared" si="98"/>
        <v>176000000</v>
      </c>
      <c r="BS51" s="94">
        <f t="shared" si="49"/>
        <v>190944444.44444445</v>
      </c>
      <c r="BT51" s="97">
        <f t="shared" si="99"/>
        <v>547430400000</v>
      </c>
      <c r="BU51" s="94">
        <f t="shared" si="100"/>
        <v>440000</v>
      </c>
      <c r="BV51" s="97">
        <f t="shared" si="101"/>
        <v>114048000</v>
      </c>
      <c r="BW51" s="5"/>
      <c r="BX51" s="94">
        <f t="shared" si="102"/>
        <v>17987402245.886223</v>
      </c>
      <c r="BY51" s="97">
        <f t="shared" si="103"/>
        <v>41449003.720517576</v>
      </c>
      <c r="BZ51" s="89">
        <f t="shared" si="104"/>
        <v>0.21793769895313489</v>
      </c>
      <c r="CA51" s="86">
        <f t="shared" si="105"/>
        <v>11.008943428171131</v>
      </c>
      <c r="CB51" s="86">
        <f t="shared" si="106"/>
        <v>138.99105657182886</v>
      </c>
      <c r="CC51" s="46">
        <f t="shared" si="107"/>
        <v>753.74999926029545</v>
      </c>
      <c r="CD51" s="76">
        <f t="shared" si="108"/>
        <v>7.3970454650407191E-7</v>
      </c>
      <c r="CE51" s="1"/>
      <c r="CF51" s="94">
        <f t="shared" si="109"/>
        <v>51267516084.826141</v>
      </c>
      <c r="CG51" s="97">
        <f t="shared" si="110"/>
        <v>118137540.70172331</v>
      </c>
      <c r="CH51" s="104">
        <f t="shared" si="111"/>
        <v>8.9064532366096724E-2</v>
      </c>
      <c r="CI51" s="86">
        <f t="shared" si="112"/>
        <v>13.404829286491404</v>
      </c>
      <c r="CJ51" s="86">
        <f t="shared" si="113"/>
        <v>136.59517071350859</v>
      </c>
      <c r="CK51" s="97">
        <f t="shared" si="114"/>
        <v>815510624253.36157</v>
      </c>
      <c r="CL51" s="93"/>
    </row>
    <row r="52" spans="1:90" ht="34.9" customHeight="1">
      <c r="A52" s="20"/>
      <c r="B52" s="200"/>
      <c r="C52" s="207"/>
      <c r="D52" s="32" t="s">
        <v>127</v>
      </c>
      <c r="E52" s="32" t="s">
        <v>129</v>
      </c>
      <c r="F52" s="35">
        <v>2022</v>
      </c>
      <c r="G52" s="1"/>
      <c r="H52" s="37" t="s">
        <v>149</v>
      </c>
      <c r="I52" s="32" t="str">
        <f t="shared" si="41"/>
        <v>Discrete</v>
      </c>
      <c r="J52" s="32" t="s">
        <v>69</v>
      </c>
      <c r="K52" s="32" t="s">
        <v>30</v>
      </c>
      <c r="L52" s="38" t="s">
        <v>66</v>
      </c>
      <c r="M52" s="38" t="s">
        <v>265</v>
      </c>
      <c r="N52" s="41" t="s">
        <v>268</v>
      </c>
      <c r="O52" s="41" t="s">
        <v>270</v>
      </c>
      <c r="P52" s="2"/>
      <c r="Q52" s="50">
        <f>((2.48*1000)*(AE52^3)/48)/1000^3</f>
        <v>1395</v>
      </c>
      <c r="R52" s="54">
        <f t="shared" si="58"/>
        <v>1099.0887301160503</v>
      </c>
      <c r="S52" s="57">
        <v>691.96006083512657</v>
      </c>
      <c r="T52" s="54">
        <f t="shared" si="79"/>
        <v>304.30120125736516</v>
      </c>
      <c r="U52" s="3" t="s">
        <v>75</v>
      </c>
      <c r="V52" s="28" t="s">
        <v>133</v>
      </c>
      <c r="W52" s="28">
        <v>5</v>
      </c>
      <c r="X52" s="28" t="s">
        <v>14</v>
      </c>
      <c r="Y52" s="32">
        <v>20</v>
      </c>
      <c r="Z52" s="32">
        <v>11000</v>
      </c>
      <c r="AA52" s="54">
        <v>690</v>
      </c>
      <c r="AB52" s="32">
        <v>20</v>
      </c>
      <c r="AC52" s="54">
        <f t="shared" si="119"/>
        <v>416.66666666666669</v>
      </c>
      <c r="AD52" s="32">
        <f t="shared" ref="AD52:AD55" si="129">MAX(Y52,AB52)</f>
        <v>20</v>
      </c>
      <c r="AE52" s="32">
        <v>3000</v>
      </c>
      <c r="AF52" s="1"/>
      <c r="AG52" s="28" t="s">
        <v>30</v>
      </c>
      <c r="AH52" s="32" t="s">
        <v>30</v>
      </c>
      <c r="AI52" s="32">
        <v>200</v>
      </c>
      <c r="AJ52" s="32">
        <v>65</v>
      </c>
      <c r="AK52" s="32">
        <v>13200</v>
      </c>
      <c r="AL52" s="1"/>
      <c r="AM52" s="64" t="s">
        <v>246</v>
      </c>
      <c r="AN52" s="28">
        <v>90</v>
      </c>
      <c r="AO52" s="32">
        <v>300</v>
      </c>
      <c r="AP52" s="54">
        <v>5200</v>
      </c>
      <c r="AQ52" s="1"/>
      <c r="AR52" s="50">
        <f t="shared" si="127"/>
        <v>367.5</v>
      </c>
      <c r="AS52" s="54">
        <f t="shared" si="128"/>
        <v>367.5</v>
      </c>
      <c r="AT52" s="54">
        <v>800</v>
      </c>
      <c r="AU52" s="1"/>
      <c r="AV52" s="78">
        <f t="shared" si="80"/>
        <v>0.1225</v>
      </c>
      <c r="AW52" s="81">
        <f t="shared" si="81"/>
        <v>0.1225</v>
      </c>
      <c r="AX52" s="84">
        <f t="shared" si="82"/>
        <v>14.17650235611517</v>
      </c>
      <c r="AY52" s="87">
        <f t="shared" si="83"/>
        <v>10</v>
      </c>
      <c r="AZ52" s="90">
        <f t="shared" si="84"/>
        <v>0.43</v>
      </c>
      <c r="BA52" s="32">
        <v>1.21</v>
      </c>
      <c r="BB52" s="32">
        <v>80</v>
      </c>
      <c r="BC52" s="54">
        <f t="shared" si="85"/>
        <v>46555.912270934918</v>
      </c>
      <c r="BD52" s="87">
        <f t="shared" si="86"/>
        <v>119.6506006286826</v>
      </c>
      <c r="BE52" s="87">
        <f t="shared" si="87"/>
        <v>119.6506006286826</v>
      </c>
      <c r="BF52" s="57">
        <f t="shared" si="88"/>
        <v>304.30120125736516</v>
      </c>
      <c r="BG52" s="4"/>
      <c r="BH52" s="8">
        <f t="shared" si="89"/>
        <v>3</v>
      </c>
      <c r="BI52" s="8">
        <f t="shared" si="90"/>
        <v>2</v>
      </c>
      <c r="BJ52" s="13">
        <f t="shared" si="91"/>
        <v>22555555.555555556</v>
      </c>
      <c r="BK52" s="12">
        <f t="shared" si="92"/>
        <v>100</v>
      </c>
      <c r="BL52" s="12">
        <f t="shared" si="48"/>
        <v>50</v>
      </c>
      <c r="BM52" s="12">
        <f t="shared" si="93"/>
        <v>10</v>
      </c>
      <c r="BN52" s="12">
        <f t="shared" si="94"/>
        <v>30</v>
      </c>
      <c r="BO52" s="12">
        <f t="shared" si="95"/>
        <v>50</v>
      </c>
      <c r="BP52" s="12">
        <f t="shared" si="96"/>
        <v>70</v>
      </c>
      <c r="BQ52" s="12">
        <f t="shared" si="97"/>
        <v>90</v>
      </c>
      <c r="BR52" s="92">
        <f t="shared" si="98"/>
        <v>710666666.66666663</v>
      </c>
      <c r="BS52" s="95">
        <f t="shared" si="49"/>
        <v>733222222.22222221</v>
      </c>
      <c r="BT52" s="98">
        <f t="shared" si="99"/>
        <v>572000000000</v>
      </c>
      <c r="BU52" s="95">
        <f t="shared" si="100"/>
        <v>660000</v>
      </c>
      <c r="BV52" s="98">
        <f t="shared" si="101"/>
        <v>171600000</v>
      </c>
      <c r="BW52" s="5"/>
      <c r="BX52" s="95">
        <f t="shared" si="102"/>
        <v>507360493494.55554</v>
      </c>
      <c r="BY52" s="98">
        <f t="shared" si="103"/>
        <v>456693640.15118355</v>
      </c>
      <c r="BZ52" s="90">
        <f t="shared" si="104"/>
        <v>3.3452091397246315E-2</v>
      </c>
      <c r="CA52" s="87">
        <f t="shared" si="105"/>
        <v>12.262607094976131</v>
      </c>
      <c r="CB52" s="87">
        <f t="shared" si="106"/>
        <v>137.73739290502388</v>
      </c>
      <c r="CC52" s="43">
        <f t="shared" si="107"/>
        <v>1395.0000001192411</v>
      </c>
      <c r="CD52" s="11">
        <f t="shared" si="108"/>
        <v>-1.192411218653433E-7</v>
      </c>
      <c r="CE52" s="1"/>
      <c r="CF52" s="95">
        <f t="shared" si="109"/>
        <v>223120403010.81696</v>
      </c>
      <c r="CG52" s="98">
        <f t="shared" si="110"/>
        <v>200838792.82986102</v>
      </c>
      <c r="CH52" s="105">
        <f t="shared" si="111"/>
        <v>7.2958582603151259E-2</v>
      </c>
      <c r="CI52" s="87">
        <f t="shared" si="112"/>
        <v>10.725844449281599</v>
      </c>
      <c r="CJ52" s="87">
        <f t="shared" si="113"/>
        <v>139.2741555507184</v>
      </c>
      <c r="CK52" s="98">
        <f t="shared" si="114"/>
        <v>1099088730116.0503</v>
      </c>
      <c r="CL52" s="93"/>
    </row>
    <row r="53" spans="1:90" ht="34.9" customHeight="1">
      <c r="A53" s="20"/>
      <c r="B53" s="200"/>
      <c r="C53" s="207"/>
      <c r="D53" s="32" t="s">
        <v>127</v>
      </c>
      <c r="E53" s="32" t="s">
        <v>130</v>
      </c>
      <c r="F53" s="35">
        <v>2022</v>
      </c>
      <c r="G53" s="1"/>
      <c r="H53" s="37" t="s">
        <v>149</v>
      </c>
      <c r="I53" s="32" t="str">
        <f t="shared" si="41"/>
        <v>Discrete</v>
      </c>
      <c r="J53" s="32" t="s">
        <v>69</v>
      </c>
      <c r="K53" s="32" t="s">
        <v>30</v>
      </c>
      <c r="L53" s="38" t="s">
        <v>66</v>
      </c>
      <c r="M53" s="38" t="s">
        <v>265</v>
      </c>
      <c r="N53" s="41" t="s">
        <v>268</v>
      </c>
      <c r="O53" s="41" t="s">
        <v>270</v>
      </c>
      <c r="P53" s="2"/>
      <c r="Q53" s="50">
        <f>((5.62*1000)*(AE53^3)/48)/1000^3</f>
        <v>3161.25</v>
      </c>
      <c r="R53" s="54">
        <f t="shared" si="58"/>
        <v>4238.2470631018386</v>
      </c>
      <c r="S53" s="57">
        <v>0</v>
      </c>
      <c r="T53" s="54">
        <f t="shared" si="79"/>
        <v>287.59215046465965</v>
      </c>
      <c r="U53" s="3" t="s">
        <v>75</v>
      </c>
      <c r="V53" s="28" t="s">
        <v>133</v>
      </c>
      <c r="W53" s="28">
        <v>5</v>
      </c>
      <c r="X53" s="28" t="s">
        <v>14</v>
      </c>
      <c r="Y53" s="32">
        <v>20</v>
      </c>
      <c r="Z53" s="32">
        <v>11000</v>
      </c>
      <c r="AA53" s="54">
        <v>690</v>
      </c>
      <c r="AB53" s="32">
        <v>20</v>
      </c>
      <c r="AC53" s="54">
        <f t="shared" si="119"/>
        <v>416.66666666666669</v>
      </c>
      <c r="AD53" s="32">
        <f t="shared" si="129"/>
        <v>20</v>
      </c>
      <c r="AE53" s="32">
        <v>3000</v>
      </c>
      <c r="AF53" s="1"/>
      <c r="AG53" s="28" t="s">
        <v>30</v>
      </c>
      <c r="AH53" s="32" t="s">
        <v>30</v>
      </c>
      <c r="AI53" s="32">
        <v>400</v>
      </c>
      <c r="AJ53" s="32">
        <v>45</v>
      </c>
      <c r="AK53" s="32">
        <v>13200</v>
      </c>
      <c r="AL53" s="1"/>
      <c r="AM53" s="64" t="s">
        <v>246</v>
      </c>
      <c r="AN53" s="28">
        <v>90</v>
      </c>
      <c r="AO53" s="32">
        <v>300</v>
      </c>
      <c r="AP53" s="54">
        <v>5200</v>
      </c>
      <c r="AQ53" s="1"/>
      <c r="AR53" s="50">
        <f t="shared" si="127"/>
        <v>377.5</v>
      </c>
      <c r="AS53" s="54">
        <f t="shared" si="128"/>
        <v>377.5</v>
      </c>
      <c r="AT53" s="54">
        <v>800</v>
      </c>
      <c r="AU53" s="1"/>
      <c r="AV53" s="78">
        <f t="shared" si="80"/>
        <v>0.12583333333333332</v>
      </c>
      <c r="AW53" s="81">
        <f t="shared" si="81"/>
        <v>0.12583333333333332</v>
      </c>
      <c r="AX53" s="84">
        <f t="shared" si="82"/>
        <v>14.17650235611517</v>
      </c>
      <c r="AY53" s="87">
        <f t="shared" si="83"/>
        <v>6</v>
      </c>
      <c r="AZ53" s="90">
        <f t="shared" si="84"/>
        <v>0.43</v>
      </c>
      <c r="BA53" s="32">
        <v>1.21</v>
      </c>
      <c r="BB53" s="32">
        <v>80</v>
      </c>
      <c r="BC53" s="54">
        <f t="shared" si="85"/>
        <v>46555.912270934918</v>
      </c>
      <c r="BD53" s="87">
        <f t="shared" si="86"/>
        <v>121.29607523232983</v>
      </c>
      <c r="BE53" s="87">
        <f t="shared" si="87"/>
        <v>121.29607523232983</v>
      </c>
      <c r="BF53" s="57">
        <f t="shared" si="88"/>
        <v>287.59215046465965</v>
      </c>
      <c r="BG53" s="4"/>
      <c r="BH53" s="8">
        <f t="shared" si="89"/>
        <v>3</v>
      </c>
      <c r="BI53" s="8">
        <f t="shared" si="90"/>
        <v>2</v>
      </c>
      <c r="BJ53" s="13">
        <f t="shared" si="91"/>
        <v>22555555.555555556</v>
      </c>
      <c r="BK53" s="12">
        <f t="shared" si="92"/>
        <v>100</v>
      </c>
      <c r="BL53" s="12">
        <f t="shared" si="48"/>
        <v>50</v>
      </c>
      <c r="BM53" s="12">
        <f t="shared" si="93"/>
        <v>10</v>
      </c>
      <c r="BN53" s="12">
        <f t="shared" si="94"/>
        <v>30</v>
      </c>
      <c r="BO53" s="12">
        <f t="shared" si="95"/>
        <v>50</v>
      </c>
      <c r="BP53" s="12">
        <f t="shared" si="96"/>
        <v>70</v>
      </c>
      <c r="BQ53" s="12">
        <f t="shared" si="97"/>
        <v>90</v>
      </c>
      <c r="BR53" s="92">
        <f t="shared" si="98"/>
        <v>710666666.66666663</v>
      </c>
      <c r="BS53" s="95">
        <f t="shared" si="49"/>
        <v>733222222.22222221</v>
      </c>
      <c r="BT53" s="98">
        <f t="shared" si="99"/>
        <v>3168000000000</v>
      </c>
      <c r="BU53" s="95">
        <f t="shared" si="100"/>
        <v>660000</v>
      </c>
      <c r="BV53" s="98">
        <f t="shared" si="101"/>
        <v>237600000</v>
      </c>
      <c r="BW53" s="5"/>
      <c r="BX53" s="95">
        <f t="shared" si="102"/>
        <v>0</v>
      </c>
      <c r="BY53" s="98">
        <f t="shared" si="103"/>
        <v>0</v>
      </c>
      <c r="BZ53" s="90">
        <f t="shared" si="104"/>
        <v>1</v>
      </c>
      <c r="CA53" s="87">
        <f t="shared" si="105"/>
        <v>0</v>
      </c>
      <c r="CB53" s="87">
        <f t="shared" si="106"/>
        <v>250</v>
      </c>
      <c r="CC53" s="43">
        <f t="shared" si="107"/>
        <v>3168</v>
      </c>
      <c r="CD53" s="11">
        <f t="shared" si="108"/>
        <v>-6.75</v>
      </c>
      <c r="CE53" s="1"/>
      <c r="CF53" s="95">
        <f t="shared" si="109"/>
        <v>210868955657.36545</v>
      </c>
      <c r="CG53" s="98">
        <f t="shared" si="110"/>
        <v>189810819.30667537</v>
      </c>
      <c r="CH53" s="105">
        <f t="shared" si="111"/>
        <v>7.6871613212505491E-2</v>
      </c>
      <c r="CI53" s="87">
        <f t="shared" si="112"/>
        <v>15.352550384355554</v>
      </c>
      <c r="CJ53" s="87">
        <f t="shared" si="113"/>
        <v>234.64744961564443</v>
      </c>
      <c r="CK53" s="98">
        <f t="shared" si="114"/>
        <v>4238247063101.8389</v>
      </c>
      <c r="CL53" s="93"/>
    </row>
    <row r="54" spans="1:90" ht="34.9" customHeight="1">
      <c r="A54" s="20"/>
      <c r="B54" s="200"/>
      <c r="C54" s="207"/>
      <c r="D54" s="32" t="s">
        <v>127</v>
      </c>
      <c r="E54" s="32" t="s">
        <v>131</v>
      </c>
      <c r="F54" s="35">
        <v>2022</v>
      </c>
      <c r="G54" s="1"/>
      <c r="H54" s="37" t="s">
        <v>149</v>
      </c>
      <c r="I54" s="32" t="str">
        <f t="shared" si="41"/>
        <v>Discrete</v>
      </c>
      <c r="J54" s="32" t="s">
        <v>69</v>
      </c>
      <c r="K54" s="32" t="s">
        <v>30</v>
      </c>
      <c r="L54" s="38" t="s">
        <v>66</v>
      </c>
      <c r="M54" s="38" t="s">
        <v>265</v>
      </c>
      <c r="N54" s="41" t="s">
        <v>268</v>
      </c>
      <c r="O54" s="41" t="s">
        <v>270</v>
      </c>
      <c r="P54" s="2"/>
      <c r="Q54" s="50">
        <f>((5.51*1000)*(AE54^3)/48)/1000^3</f>
        <v>3099.375</v>
      </c>
      <c r="R54" s="54">
        <f t="shared" si="58"/>
        <v>4238.2470631018386</v>
      </c>
      <c r="S54" s="57">
        <v>0</v>
      </c>
      <c r="T54" s="54">
        <f t="shared" si="79"/>
        <v>287.59215046465965</v>
      </c>
      <c r="U54" s="3" t="s">
        <v>75</v>
      </c>
      <c r="V54" s="28" t="s">
        <v>133</v>
      </c>
      <c r="W54" s="28">
        <v>5</v>
      </c>
      <c r="X54" s="28" t="s">
        <v>14</v>
      </c>
      <c r="Y54" s="32">
        <v>20</v>
      </c>
      <c r="Z54" s="32">
        <v>11000</v>
      </c>
      <c r="AA54" s="54">
        <v>690</v>
      </c>
      <c r="AB54" s="32">
        <v>20</v>
      </c>
      <c r="AC54" s="54">
        <f t="shared" si="119"/>
        <v>416.66666666666669</v>
      </c>
      <c r="AD54" s="32">
        <f t="shared" si="129"/>
        <v>20</v>
      </c>
      <c r="AE54" s="32">
        <v>3000</v>
      </c>
      <c r="AF54" s="1"/>
      <c r="AG54" s="28" t="s">
        <v>30</v>
      </c>
      <c r="AH54" s="32" t="s">
        <v>30</v>
      </c>
      <c r="AI54" s="32">
        <v>400</v>
      </c>
      <c r="AJ54" s="32">
        <v>45</v>
      </c>
      <c r="AK54" s="32">
        <v>13200</v>
      </c>
      <c r="AL54" s="1"/>
      <c r="AM54" s="64" t="s">
        <v>246</v>
      </c>
      <c r="AN54" s="28">
        <v>90</v>
      </c>
      <c r="AO54" s="32">
        <v>300</v>
      </c>
      <c r="AP54" s="54">
        <v>5200</v>
      </c>
      <c r="AQ54" s="1"/>
      <c r="AR54" s="50">
        <f t="shared" si="127"/>
        <v>377.5</v>
      </c>
      <c r="AS54" s="54">
        <f t="shared" si="128"/>
        <v>377.5</v>
      </c>
      <c r="AT54" s="54">
        <v>800</v>
      </c>
      <c r="AU54" s="1"/>
      <c r="AV54" s="78">
        <f t="shared" si="80"/>
        <v>0.12583333333333332</v>
      </c>
      <c r="AW54" s="81">
        <f t="shared" si="81"/>
        <v>0.12583333333333332</v>
      </c>
      <c r="AX54" s="84">
        <f t="shared" si="82"/>
        <v>14.17650235611517</v>
      </c>
      <c r="AY54" s="87">
        <f t="shared" si="83"/>
        <v>6</v>
      </c>
      <c r="AZ54" s="90">
        <f t="shared" si="84"/>
        <v>0.43</v>
      </c>
      <c r="BA54" s="32">
        <v>1.21</v>
      </c>
      <c r="BB54" s="32">
        <v>80</v>
      </c>
      <c r="BC54" s="54">
        <f t="shared" si="85"/>
        <v>46555.912270934918</v>
      </c>
      <c r="BD54" s="87">
        <f t="shared" si="86"/>
        <v>121.29607523232983</v>
      </c>
      <c r="BE54" s="87">
        <f t="shared" si="87"/>
        <v>121.29607523232983</v>
      </c>
      <c r="BF54" s="57">
        <f t="shared" si="88"/>
        <v>287.59215046465965</v>
      </c>
      <c r="BG54" s="4"/>
      <c r="BH54" s="8">
        <f t="shared" si="89"/>
        <v>3</v>
      </c>
      <c r="BI54" s="8">
        <f t="shared" si="90"/>
        <v>2</v>
      </c>
      <c r="BJ54" s="13">
        <f t="shared" si="91"/>
        <v>22555555.555555556</v>
      </c>
      <c r="BK54" s="12">
        <f t="shared" si="92"/>
        <v>100</v>
      </c>
      <c r="BL54" s="12">
        <f t="shared" si="48"/>
        <v>50</v>
      </c>
      <c r="BM54" s="12">
        <f t="shared" si="93"/>
        <v>10</v>
      </c>
      <c r="BN54" s="12">
        <f t="shared" si="94"/>
        <v>30</v>
      </c>
      <c r="BO54" s="12">
        <f t="shared" si="95"/>
        <v>50</v>
      </c>
      <c r="BP54" s="12">
        <f t="shared" si="96"/>
        <v>70</v>
      </c>
      <c r="BQ54" s="12">
        <f t="shared" si="97"/>
        <v>90</v>
      </c>
      <c r="BR54" s="92">
        <f t="shared" si="98"/>
        <v>710666666.66666663</v>
      </c>
      <c r="BS54" s="95">
        <f t="shared" si="49"/>
        <v>733222222.22222221</v>
      </c>
      <c r="BT54" s="98">
        <f t="shared" si="99"/>
        <v>3168000000000</v>
      </c>
      <c r="BU54" s="95">
        <f t="shared" si="100"/>
        <v>660000</v>
      </c>
      <c r="BV54" s="98">
        <f t="shared" si="101"/>
        <v>237600000</v>
      </c>
      <c r="BW54" s="5"/>
      <c r="BX54" s="95">
        <f t="shared" si="102"/>
        <v>0</v>
      </c>
      <c r="BY54" s="98">
        <f t="shared" si="103"/>
        <v>0</v>
      </c>
      <c r="BZ54" s="90">
        <f t="shared" si="104"/>
        <v>1</v>
      </c>
      <c r="CA54" s="87">
        <f t="shared" si="105"/>
        <v>0</v>
      </c>
      <c r="CB54" s="87">
        <f t="shared" si="106"/>
        <v>250</v>
      </c>
      <c r="CC54" s="43">
        <f t="shared" si="107"/>
        <v>3168</v>
      </c>
      <c r="CD54" s="11">
        <f t="shared" si="108"/>
        <v>-68.625</v>
      </c>
      <c r="CE54" s="1"/>
      <c r="CF54" s="95">
        <f t="shared" si="109"/>
        <v>210868955657.36545</v>
      </c>
      <c r="CG54" s="98">
        <f t="shared" si="110"/>
        <v>189810819.30667537</v>
      </c>
      <c r="CH54" s="105">
        <f t="shared" si="111"/>
        <v>7.6871613212505491E-2</v>
      </c>
      <c r="CI54" s="87">
        <f t="shared" si="112"/>
        <v>15.352550384355554</v>
      </c>
      <c r="CJ54" s="87">
        <f t="shared" si="113"/>
        <v>234.64744961564443</v>
      </c>
      <c r="CK54" s="98">
        <f t="shared" si="114"/>
        <v>4238247063101.8389</v>
      </c>
      <c r="CL54" s="93"/>
    </row>
    <row r="55" spans="1:90" ht="34.9" customHeight="1">
      <c r="A55" s="20"/>
      <c r="B55" s="200"/>
      <c r="C55" s="208"/>
      <c r="D55" s="36" t="s">
        <v>127</v>
      </c>
      <c r="E55" s="36" t="s">
        <v>132</v>
      </c>
      <c r="F55" s="121">
        <v>2022</v>
      </c>
      <c r="G55" s="1"/>
      <c r="H55" s="114" t="s">
        <v>149</v>
      </c>
      <c r="I55" s="36" t="str">
        <f t="shared" si="41"/>
        <v>Discrete</v>
      </c>
      <c r="J55" s="36" t="s">
        <v>69</v>
      </c>
      <c r="K55" s="36" t="s">
        <v>72</v>
      </c>
      <c r="L55" s="39" t="s">
        <v>66</v>
      </c>
      <c r="M55" s="39" t="s">
        <v>265</v>
      </c>
      <c r="N55" s="42" t="s">
        <v>268</v>
      </c>
      <c r="O55" s="42" t="s">
        <v>270</v>
      </c>
      <c r="P55" s="2"/>
      <c r="Q55" s="51">
        <f>((9.98*1000)*(AE55^3)/48)/1000^3</f>
        <v>5613.75</v>
      </c>
      <c r="R55" s="55">
        <f t="shared" si="58"/>
        <v>7903.2623245483437</v>
      </c>
      <c r="S55" s="58">
        <v>0</v>
      </c>
      <c r="T55" s="55">
        <f t="shared" si="79"/>
        <v>320.8479334354198</v>
      </c>
      <c r="U55" s="3" t="s">
        <v>75</v>
      </c>
      <c r="V55" s="29" t="s">
        <v>133</v>
      </c>
      <c r="W55" s="29">
        <v>5</v>
      </c>
      <c r="X55" s="29" t="s">
        <v>14</v>
      </c>
      <c r="Y55" s="36">
        <v>20</v>
      </c>
      <c r="Z55" s="36">
        <v>11000</v>
      </c>
      <c r="AA55" s="55">
        <v>690</v>
      </c>
      <c r="AB55" s="36">
        <v>20</v>
      </c>
      <c r="AC55" s="55">
        <f t="shared" si="119"/>
        <v>416.66666666666669</v>
      </c>
      <c r="AD55" s="36">
        <f t="shared" si="129"/>
        <v>20</v>
      </c>
      <c r="AE55" s="36">
        <v>3000</v>
      </c>
      <c r="AF55" s="1"/>
      <c r="AG55" s="29" t="s">
        <v>72</v>
      </c>
      <c r="AH55" s="36" t="s">
        <v>134</v>
      </c>
      <c r="AI55" s="36">
        <v>420</v>
      </c>
      <c r="AJ55" s="36">
        <v>85</v>
      </c>
      <c r="AK55" s="36">
        <v>13300</v>
      </c>
      <c r="AL55" s="1"/>
      <c r="AM55" s="66" t="s">
        <v>246</v>
      </c>
      <c r="AN55" s="29">
        <v>90</v>
      </c>
      <c r="AO55" s="36">
        <v>300</v>
      </c>
      <c r="AP55" s="55">
        <v>3600</v>
      </c>
      <c r="AQ55" s="1"/>
      <c r="AR55" s="51">
        <f t="shared" si="127"/>
        <v>357.5</v>
      </c>
      <c r="AS55" s="55">
        <f t="shared" si="128"/>
        <v>357.5</v>
      </c>
      <c r="AT55" s="55">
        <v>800</v>
      </c>
      <c r="AU55" s="1"/>
      <c r="AV55" s="79">
        <f t="shared" si="80"/>
        <v>0.11916666666666667</v>
      </c>
      <c r="AW55" s="82">
        <f t="shared" si="81"/>
        <v>0.11916666666666667</v>
      </c>
      <c r="AX55" s="85">
        <f t="shared" si="82"/>
        <v>14.17650235611517</v>
      </c>
      <c r="AY55" s="88">
        <f t="shared" si="83"/>
        <v>5.7692307692307692</v>
      </c>
      <c r="AZ55" s="91">
        <f t="shared" si="84"/>
        <v>0.43</v>
      </c>
      <c r="BA55" s="36">
        <v>1.21</v>
      </c>
      <c r="BB55" s="36">
        <v>80</v>
      </c>
      <c r="BC55" s="55">
        <f t="shared" si="85"/>
        <v>46555.912270934918</v>
      </c>
      <c r="BD55" s="88">
        <f t="shared" si="86"/>
        <v>117.9239667177099</v>
      </c>
      <c r="BE55" s="88">
        <f t="shared" si="87"/>
        <v>117.9239667177099</v>
      </c>
      <c r="BF55" s="58">
        <f t="shared" si="88"/>
        <v>320.8479334354198</v>
      </c>
      <c r="BG55" s="4"/>
      <c r="BH55" s="115">
        <f t="shared" si="89"/>
        <v>3</v>
      </c>
      <c r="BI55" s="115">
        <f t="shared" si="90"/>
        <v>2</v>
      </c>
      <c r="BJ55" s="116">
        <f t="shared" si="91"/>
        <v>22555555.555555556</v>
      </c>
      <c r="BK55" s="117">
        <f t="shared" si="92"/>
        <v>100</v>
      </c>
      <c r="BL55" s="117">
        <f t="shared" si="48"/>
        <v>50</v>
      </c>
      <c r="BM55" s="117">
        <f t="shared" si="93"/>
        <v>10</v>
      </c>
      <c r="BN55" s="117">
        <f t="shared" si="94"/>
        <v>30</v>
      </c>
      <c r="BO55" s="117">
        <f t="shared" si="95"/>
        <v>50</v>
      </c>
      <c r="BP55" s="117">
        <f t="shared" si="96"/>
        <v>70</v>
      </c>
      <c r="BQ55" s="117">
        <f t="shared" si="97"/>
        <v>90</v>
      </c>
      <c r="BR55" s="118">
        <f t="shared" si="98"/>
        <v>710666666.66666663</v>
      </c>
      <c r="BS55" s="96">
        <f t="shared" si="49"/>
        <v>733222222.22222221</v>
      </c>
      <c r="BT55" s="99">
        <f t="shared" si="99"/>
        <v>6979707000000</v>
      </c>
      <c r="BU55" s="96">
        <f t="shared" si="100"/>
        <v>660000</v>
      </c>
      <c r="BV55" s="99">
        <f t="shared" si="101"/>
        <v>474810000</v>
      </c>
      <c r="BW55" s="5"/>
      <c r="BX55" s="96">
        <f t="shared" si="102"/>
        <v>0</v>
      </c>
      <c r="BY55" s="99">
        <f t="shared" si="103"/>
        <v>0</v>
      </c>
      <c r="BZ55" s="91">
        <f t="shared" si="104"/>
        <v>1</v>
      </c>
      <c r="CA55" s="88">
        <f t="shared" si="105"/>
        <v>0</v>
      </c>
      <c r="CB55" s="88">
        <f t="shared" si="106"/>
        <v>260</v>
      </c>
      <c r="CC55" s="119">
        <f t="shared" si="107"/>
        <v>6979.7070000000003</v>
      </c>
      <c r="CD55" s="120">
        <f t="shared" si="108"/>
        <v>-1365.9570000000003</v>
      </c>
      <c r="CE55" s="1"/>
      <c r="CF55" s="96">
        <f t="shared" si="109"/>
        <v>235252834748.92615</v>
      </c>
      <c r="CG55" s="99">
        <f t="shared" si="110"/>
        <v>211759636.06737706</v>
      </c>
      <c r="CH55" s="106">
        <f t="shared" si="111"/>
        <v>4.9135939139320538E-2</v>
      </c>
      <c r="CI55" s="88">
        <f t="shared" si="112"/>
        <v>5.6976521838051841</v>
      </c>
      <c r="CJ55" s="88">
        <f t="shared" si="113"/>
        <v>254.30234781619481</v>
      </c>
      <c r="CK55" s="99">
        <f t="shared" si="114"/>
        <v>7903262324548.3438</v>
      </c>
      <c r="CL55" s="93"/>
    </row>
    <row r="56" spans="1:90" ht="34.9" customHeight="1">
      <c r="A56" s="20"/>
      <c r="B56" s="200" t="s">
        <v>288</v>
      </c>
      <c r="C56" s="206" t="s">
        <v>306</v>
      </c>
      <c r="D56" s="31" t="s">
        <v>97</v>
      </c>
      <c r="E56" s="31" t="s">
        <v>98</v>
      </c>
      <c r="F56" s="108">
        <v>2022</v>
      </c>
      <c r="G56" s="1"/>
      <c r="H56" s="109" t="s">
        <v>149</v>
      </c>
      <c r="I56" s="31" t="str">
        <f t="shared" si="41"/>
        <v>Discrete</v>
      </c>
      <c r="J56" s="31" t="s">
        <v>69</v>
      </c>
      <c r="K56" s="31" t="s">
        <v>72</v>
      </c>
      <c r="L56" s="110" t="s">
        <v>105</v>
      </c>
      <c r="M56" s="110" t="s">
        <v>265</v>
      </c>
      <c r="N56" s="145" t="s">
        <v>268</v>
      </c>
      <c r="O56" s="145" t="s">
        <v>270</v>
      </c>
      <c r="P56" s="2"/>
      <c r="Q56" s="49">
        <f>((3.4*1000/AE56)*5*(AE56^4)/384)/1000^3</f>
        <v>9562.4999999999982</v>
      </c>
      <c r="R56" s="53">
        <f t="shared" si="58"/>
        <v>8329.2403402469245</v>
      </c>
      <c r="S56" s="56">
        <v>1500.8954205520949</v>
      </c>
      <c r="T56" s="53">
        <f t="shared" si="79"/>
        <v>377.30827169669215</v>
      </c>
      <c r="U56" s="3" t="s">
        <v>75</v>
      </c>
      <c r="V56" s="27" t="s">
        <v>133</v>
      </c>
      <c r="W56" s="27">
        <v>5</v>
      </c>
      <c r="X56" s="27" t="s">
        <v>14</v>
      </c>
      <c r="Y56" s="31">
        <v>20</v>
      </c>
      <c r="Z56" s="31">
        <v>11000</v>
      </c>
      <c r="AA56" s="53">
        <v>690</v>
      </c>
      <c r="AB56" s="31">
        <v>20</v>
      </c>
      <c r="AC56" s="53">
        <f t="shared" si="119"/>
        <v>416.66666666666669</v>
      </c>
      <c r="AD56" s="31">
        <f t="shared" ref="AD56:AD62" si="130">MAX(Y56,AB56)</f>
        <v>20</v>
      </c>
      <c r="AE56" s="31">
        <v>6000</v>
      </c>
      <c r="AF56" s="1"/>
      <c r="AG56" s="27" t="s">
        <v>72</v>
      </c>
      <c r="AH56" s="31" t="s">
        <v>106</v>
      </c>
      <c r="AI56" s="31">
        <v>360</v>
      </c>
      <c r="AJ56" s="31">
        <v>85</v>
      </c>
      <c r="AK56" s="31">
        <v>16700</v>
      </c>
      <c r="AL56" s="1"/>
      <c r="AM56" s="63" t="s">
        <v>246</v>
      </c>
      <c r="AN56" s="27">
        <v>90</v>
      </c>
      <c r="AO56" s="31">
        <v>300</v>
      </c>
      <c r="AP56" s="53">
        <f>1000*5.48</f>
        <v>5480</v>
      </c>
      <c r="AQ56" s="1"/>
      <c r="AR56" s="49">
        <f t="shared" si="127"/>
        <v>357.5</v>
      </c>
      <c r="AS56" s="53">
        <f>AR56</f>
        <v>357.5</v>
      </c>
      <c r="AT56" s="53">
        <v>800</v>
      </c>
      <c r="AU56" s="1"/>
      <c r="AV56" s="77">
        <f t="shared" si="80"/>
        <v>5.9583333333333335E-2</v>
      </c>
      <c r="AW56" s="80">
        <f t="shared" si="81"/>
        <v>5.9583333333333335E-2</v>
      </c>
      <c r="AX56" s="83">
        <f t="shared" si="82"/>
        <v>14.17650235611517</v>
      </c>
      <c r="AY56" s="86">
        <f t="shared" si="83"/>
        <v>13.043478260869565</v>
      </c>
      <c r="AZ56" s="89">
        <f t="shared" si="84"/>
        <v>0.43</v>
      </c>
      <c r="BA56" s="31">
        <v>1.21</v>
      </c>
      <c r="BB56" s="31">
        <v>80</v>
      </c>
      <c r="BC56" s="53">
        <f t="shared" si="85"/>
        <v>46555.912270934918</v>
      </c>
      <c r="BD56" s="86">
        <f t="shared" si="86"/>
        <v>146.15413584834607</v>
      </c>
      <c r="BE56" s="86">
        <f t="shared" si="87"/>
        <v>146.15413584834607</v>
      </c>
      <c r="BF56" s="56">
        <f t="shared" si="88"/>
        <v>377.30827169669215</v>
      </c>
      <c r="BG56" s="4"/>
      <c r="BH56" s="23">
        <f t="shared" si="89"/>
        <v>3</v>
      </c>
      <c r="BI56" s="23">
        <f t="shared" si="90"/>
        <v>2</v>
      </c>
      <c r="BJ56" s="30">
        <f t="shared" si="91"/>
        <v>22555555.555555556</v>
      </c>
      <c r="BK56" s="75">
        <f t="shared" si="92"/>
        <v>100</v>
      </c>
      <c r="BL56" s="75">
        <f t="shared" si="48"/>
        <v>50</v>
      </c>
      <c r="BM56" s="75">
        <f t="shared" si="93"/>
        <v>10</v>
      </c>
      <c r="BN56" s="75">
        <f t="shared" si="94"/>
        <v>30</v>
      </c>
      <c r="BO56" s="75">
        <f t="shared" si="95"/>
        <v>50</v>
      </c>
      <c r="BP56" s="75">
        <f t="shared" si="96"/>
        <v>70</v>
      </c>
      <c r="BQ56" s="75">
        <f t="shared" si="97"/>
        <v>90</v>
      </c>
      <c r="BR56" s="113">
        <f t="shared" si="98"/>
        <v>710666666.66666663</v>
      </c>
      <c r="BS56" s="94">
        <f t="shared" si="49"/>
        <v>733222222.22222221</v>
      </c>
      <c r="BT56" s="97">
        <f t="shared" si="99"/>
        <v>5519016000000</v>
      </c>
      <c r="BU56" s="94">
        <f t="shared" si="100"/>
        <v>660000</v>
      </c>
      <c r="BV56" s="97">
        <f t="shared" si="101"/>
        <v>511020000</v>
      </c>
      <c r="BW56" s="5"/>
      <c r="BX56" s="94">
        <f t="shared" si="102"/>
        <v>1100489875580.3638</v>
      </c>
      <c r="BY56" s="97">
        <f t="shared" si="103"/>
        <v>990590977.56438267</v>
      </c>
      <c r="BZ56" s="89">
        <f t="shared" si="104"/>
        <v>6.3022666737831787E-2</v>
      </c>
      <c r="CA56" s="86">
        <f t="shared" si="105"/>
        <v>25.039385209130014</v>
      </c>
      <c r="CB56" s="86">
        <f t="shared" si="106"/>
        <v>204.96061479086998</v>
      </c>
      <c r="CC56" s="46">
        <f t="shared" si="107"/>
        <v>9562.5000003813748</v>
      </c>
      <c r="CD56" s="76">
        <f t="shared" si="108"/>
        <v>-3.8137659430503845E-7</v>
      </c>
      <c r="CE56" s="1"/>
      <c r="CF56" s="94">
        <f t="shared" si="109"/>
        <v>276650809436.2746</v>
      </c>
      <c r="CG56" s="97">
        <f t="shared" si="110"/>
        <v>249023459.31981683</v>
      </c>
      <c r="CH56" s="104">
        <f t="shared" si="111"/>
        <v>0.21108294399438593</v>
      </c>
      <c r="CI56" s="86">
        <f t="shared" si="112"/>
        <v>16.788746112118091</v>
      </c>
      <c r="CJ56" s="86">
        <f t="shared" si="113"/>
        <v>213.21125388788192</v>
      </c>
      <c r="CK56" s="97">
        <f t="shared" si="114"/>
        <v>8329240340246.9238</v>
      </c>
      <c r="CL56" s="93"/>
    </row>
    <row r="57" spans="1:90" ht="34.9" customHeight="1">
      <c r="A57" s="20"/>
      <c r="B57" s="200"/>
      <c r="C57" s="207"/>
      <c r="D57" s="32" t="s">
        <v>97</v>
      </c>
      <c r="E57" s="32" t="s">
        <v>99</v>
      </c>
      <c r="F57" s="35">
        <v>2022</v>
      </c>
      <c r="G57" s="1"/>
      <c r="H57" s="37" t="s">
        <v>149</v>
      </c>
      <c r="I57" s="32" t="str">
        <f t="shared" si="41"/>
        <v>Discrete</v>
      </c>
      <c r="J57" s="32" t="s">
        <v>69</v>
      </c>
      <c r="K57" s="32" t="s">
        <v>72</v>
      </c>
      <c r="L57" s="38" t="s">
        <v>105</v>
      </c>
      <c r="M57" s="38" t="s">
        <v>265</v>
      </c>
      <c r="N57" s="41" t="s">
        <v>268</v>
      </c>
      <c r="O57" s="41" t="s">
        <v>270</v>
      </c>
      <c r="P57" s="2"/>
      <c r="Q57" s="50">
        <f>((2.67*1000/AE57)*5*(AE57^4)/384)/1000^3</f>
        <v>7509.375</v>
      </c>
      <c r="R57" s="54">
        <f t="shared" si="58"/>
        <v>8318.0171253957178</v>
      </c>
      <c r="S57" s="57">
        <v>137.37328280318204</v>
      </c>
      <c r="T57" s="54">
        <f t="shared" si="79"/>
        <v>377.30827169669215</v>
      </c>
      <c r="U57" s="3" t="s">
        <v>75</v>
      </c>
      <c r="V57" s="28" t="s">
        <v>133</v>
      </c>
      <c r="W57" s="28">
        <v>5</v>
      </c>
      <c r="X57" s="28" t="s">
        <v>14</v>
      </c>
      <c r="Y57" s="32">
        <v>20</v>
      </c>
      <c r="Z57" s="32">
        <v>11000</v>
      </c>
      <c r="AA57" s="54">
        <v>690</v>
      </c>
      <c r="AB57" s="32">
        <v>20</v>
      </c>
      <c r="AC57" s="54">
        <f t="shared" si="119"/>
        <v>416.66666666666669</v>
      </c>
      <c r="AD57" s="32">
        <f t="shared" si="130"/>
        <v>20</v>
      </c>
      <c r="AE57" s="32">
        <v>6000</v>
      </c>
      <c r="AF57" s="1"/>
      <c r="AG57" s="28" t="s">
        <v>72</v>
      </c>
      <c r="AH57" s="32" t="s">
        <v>106</v>
      </c>
      <c r="AI57" s="32">
        <v>360</v>
      </c>
      <c r="AJ57" s="32">
        <v>85</v>
      </c>
      <c r="AK57" s="32">
        <v>16700</v>
      </c>
      <c r="AL57" s="1"/>
      <c r="AM57" s="64" t="s">
        <v>246</v>
      </c>
      <c r="AN57" s="28">
        <v>90</v>
      </c>
      <c r="AO57" s="32">
        <v>300</v>
      </c>
      <c r="AP57" s="54">
        <f>1000*5.48</f>
        <v>5480</v>
      </c>
      <c r="AQ57" s="1"/>
      <c r="AR57" s="50">
        <f t="shared" si="127"/>
        <v>357.5</v>
      </c>
      <c r="AS57" s="54">
        <f t="shared" ref="AS57:AS62" si="131">AR57</f>
        <v>357.5</v>
      </c>
      <c r="AT57" s="54">
        <v>800</v>
      </c>
      <c r="AU57" s="1"/>
      <c r="AV57" s="78">
        <f t="shared" si="80"/>
        <v>5.9583333333333335E-2</v>
      </c>
      <c r="AW57" s="81">
        <f t="shared" si="81"/>
        <v>5.9583333333333335E-2</v>
      </c>
      <c r="AX57" s="84">
        <f t="shared" si="82"/>
        <v>14.17650235611517</v>
      </c>
      <c r="AY57" s="87">
        <f t="shared" si="83"/>
        <v>13.043478260869565</v>
      </c>
      <c r="AZ57" s="90">
        <f t="shared" si="84"/>
        <v>0.43</v>
      </c>
      <c r="BA57" s="32">
        <v>1.21</v>
      </c>
      <c r="BB57" s="32">
        <v>80</v>
      </c>
      <c r="BC57" s="54">
        <f t="shared" si="85"/>
        <v>46555.912270934918</v>
      </c>
      <c r="BD57" s="87">
        <f t="shared" si="86"/>
        <v>146.15413584834607</v>
      </c>
      <c r="BE57" s="87">
        <f t="shared" si="87"/>
        <v>146.15413584834607</v>
      </c>
      <c r="BF57" s="57">
        <f t="shared" si="88"/>
        <v>377.30827169669215</v>
      </c>
      <c r="BG57" s="4"/>
      <c r="BH57" s="8">
        <f t="shared" si="89"/>
        <v>3</v>
      </c>
      <c r="BI57" s="8">
        <f t="shared" si="90"/>
        <v>2</v>
      </c>
      <c r="BJ57" s="13">
        <f t="shared" si="91"/>
        <v>22555555.555555556</v>
      </c>
      <c r="BK57" s="12">
        <f t="shared" si="92"/>
        <v>100</v>
      </c>
      <c r="BL57" s="12">
        <f t="shared" si="48"/>
        <v>50</v>
      </c>
      <c r="BM57" s="12">
        <f t="shared" si="93"/>
        <v>10</v>
      </c>
      <c r="BN57" s="12">
        <f t="shared" si="94"/>
        <v>30</v>
      </c>
      <c r="BO57" s="12">
        <f t="shared" si="95"/>
        <v>50</v>
      </c>
      <c r="BP57" s="12">
        <f t="shared" si="96"/>
        <v>70</v>
      </c>
      <c r="BQ57" s="12">
        <f t="shared" si="97"/>
        <v>90</v>
      </c>
      <c r="BR57" s="92">
        <f t="shared" si="98"/>
        <v>710666666.66666663</v>
      </c>
      <c r="BS57" s="95">
        <f t="shared" si="49"/>
        <v>733222222.22222221</v>
      </c>
      <c r="BT57" s="98">
        <f t="shared" si="99"/>
        <v>5519016000000</v>
      </c>
      <c r="BU57" s="95">
        <f t="shared" si="100"/>
        <v>660000</v>
      </c>
      <c r="BV57" s="98">
        <f t="shared" si="101"/>
        <v>511020000</v>
      </c>
      <c r="BW57" s="5"/>
      <c r="BX57" s="95">
        <f t="shared" si="102"/>
        <v>100725143690.91092</v>
      </c>
      <c r="BY57" s="98">
        <f t="shared" si="103"/>
        <v>90666366.650100142</v>
      </c>
      <c r="BZ57" s="90">
        <f t="shared" si="104"/>
        <v>0.42359093030275774</v>
      </c>
      <c r="CA57" s="87">
        <f t="shared" si="105"/>
        <v>16.077256027368417</v>
      </c>
      <c r="CB57" s="87">
        <f t="shared" si="106"/>
        <v>213.92274397263159</v>
      </c>
      <c r="CC57" s="43">
        <f t="shared" si="107"/>
        <v>7509.3749999652473</v>
      </c>
      <c r="CD57" s="11">
        <f t="shared" si="108"/>
        <v>3.4752702049445361E-8</v>
      </c>
      <c r="CE57" s="1"/>
      <c r="CF57" s="95">
        <f t="shared" si="109"/>
        <v>276650809436.2746</v>
      </c>
      <c r="CG57" s="98">
        <f t="shared" si="110"/>
        <v>249023459.31981683</v>
      </c>
      <c r="CH57" s="105">
        <f t="shared" si="111"/>
        <v>0.21108294399438593</v>
      </c>
      <c r="CI57" s="87">
        <f t="shared" si="112"/>
        <v>22.804251397549123</v>
      </c>
      <c r="CJ57" s="87">
        <f t="shared" si="113"/>
        <v>207.19574860245086</v>
      </c>
      <c r="CK57" s="98">
        <f t="shared" si="114"/>
        <v>8318017125395.7178</v>
      </c>
      <c r="CL57" s="93"/>
    </row>
    <row r="58" spans="1:90" ht="34.9" customHeight="1">
      <c r="A58" s="20"/>
      <c r="B58" s="200"/>
      <c r="C58" s="207"/>
      <c r="D58" s="32" t="s">
        <v>97</v>
      </c>
      <c r="E58" s="32" t="s">
        <v>100</v>
      </c>
      <c r="F58" s="35">
        <v>2022</v>
      </c>
      <c r="G58" s="1"/>
      <c r="H58" s="37" t="s">
        <v>149</v>
      </c>
      <c r="I58" s="32" t="str">
        <f t="shared" si="41"/>
        <v>Discrete</v>
      </c>
      <c r="J58" s="32" t="s">
        <v>69</v>
      </c>
      <c r="K58" s="32" t="s">
        <v>30</v>
      </c>
      <c r="L58" s="38" t="s">
        <v>105</v>
      </c>
      <c r="M58" s="38" t="s">
        <v>265</v>
      </c>
      <c r="N58" s="41" t="s">
        <v>268</v>
      </c>
      <c r="O58" s="41" t="s">
        <v>270</v>
      </c>
      <c r="P58" s="2"/>
      <c r="Q58" s="50">
        <f>((3.6*1000/AE58)*5*(AE58^4)/384)/1000^3</f>
        <v>10125</v>
      </c>
      <c r="R58" s="54">
        <f t="shared" si="58"/>
        <v>8373.5309490102572</v>
      </c>
      <c r="S58" s="57">
        <v>2147.0133561992889</v>
      </c>
      <c r="T58" s="54">
        <f t="shared" si="79"/>
        <v>370.56500614208289</v>
      </c>
      <c r="U58" s="3" t="s">
        <v>75</v>
      </c>
      <c r="V58" s="28" t="s">
        <v>133</v>
      </c>
      <c r="W58" s="28">
        <v>5</v>
      </c>
      <c r="X58" s="28" t="s">
        <v>14</v>
      </c>
      <c r="Y58" s="32">
        <v>20</v>
      </c>
      <c r="Z58" s="32">
        <v>11000</v>
      </c>
      <c r="AA58" s="54">
        <v>690</v>
      </c>
      <c r="AB58" s="32">
        <v>20</v>
      </c>
      <c r="AC58" s="54">
        <f t="shared" si="119"/>
        <v>416.66666666666669</v>
      </c>
      <c r="AD58" s="32">
        <f t="shared" si="130"/>
        <v>20</v>
      </c>
      <c r="AE58" s="32">
        <v>6000</v>
      </c>
      <c r="AF58" s="1"/>
      <c r="AG58" s="28" t="s">
        <v>30</v>
      </c>
      <c r="AH58" s="32" t="s">
        <v>30</v>
      </c>
      <c r="AI58" s="32">
        <v>400</v>
      </c>
      <c r="AJ58" s="32">
        <v>75</v>
      </c>
      <c r="AK58" s="32">
        <v>13200</v>
      </c>
      <c r="AL58" s="1"/>
      <c r="AM58" s="64" t="s">
        <v>246</v>
      </c>
      <c r="AN58" s="28">
        <v>90</v>
      </c>
      <c r="AO58" s="32">
        <v>300</v>
      </c>
      <c r="AP58" s="54">
        <f>1000*5.18</f>
        <v>5180</v>
      </c>
      <c r="AQ58" s="1"/>
      <c r="AR58" s="50">
        <f t="shared" si="127"/>
        <v>362.5</v>
      </c>
      <c r="AS58" s="54">
        <f t="shared" si="131"/>
        <v>362.5</v>
      </c>
      <c r="AT58" s="54">
        <v>800</v>
      </c>
      <c r="AU58" s="1"/>
      <c r="AV58" s="78">
        <f t="shared" si="80"/>
        <v>6.0416666666666667E-2</v>
      </c>
      <c r="AW58" s="81">
        <f t="shared" si="81"/>
        <v>6.0416666666666667E-2</v>
      </c>
      <c r="AX58" s="84">
        <f t="shared" si="82"/>
        <v>14.17650235611517</v>
      </c>
      <c r="AY58" s="87">
        <f t="shared" si="83"/>
        <v>12</v>
      </c>
      <c r="AZ58" s="90">
        <f t="shared" si="84"/>
        <v>0.43</v>
      </c>
      <c r="BA58" s="32">
        <v>1.21</v>
      </c>
      <c r="BB58" s="32">
        <v>80</v>
      </c>
      <c r="BC58" s="54">
        <f t="shared" si="85"/>
        <v>46555.912270934918</v>
      </c>
      <c r="BD58" s="87">
        <f t="shared" si="86"/>
        <v>147.78250307104145</v>
      </c>
      <c r="BE58" s="87">
        <f t="shared" si="87"/>
        <v>147.78250307104145</v>
      </c>
      <c r="BF58" s="57">
        <f t="shared" si="88"/>
        <v>370.56500614208289</v>
      </c>
      <c r="BG58" s="4"/>
      <c r="BH58" s="8">
        <f t="shared" si="89"/>
        <v>3</v>
      </c>
      <c r="BI58" s="8">
        <f t="shared" si="90"/>
        <v>2</v>
      </c>
      <c r="BJ58" s="13">
        <f t="shared" si="91"/>
        <v>22555555.555555556</v>
      </c>
      <c r="BK58" s="12">
        <f t="shared" si="92"/>
        <v>100</v>
      </c>
      <c r="BL58" s="12">
        <f t="shared" si="48"/>
        <v>50</v>
      </c>
      <c r="BM58" s="12">
        <f t="shared" si="93"/>
        <v>10</v>
      </c>
      <c r="BN58" s="12">
        <f t="shared" si="94"/>
        <v>30</v>
      </c>
      <c r="BO58" s="12">
        <f t="shared" si="95"/>
        <v>50</v>
      </c>
      <c r="BP58" s="12">
        <f t="shared" si="96"/>
        <v>70</v>
      </c>
      <c r="BQ58" s="12">
        <f t="shared" si="97"/>
        <v>90</v>
      </c>
      <c r="BR58" s="92">
        <f t="shared" si="98"/>
        <v>710666666.66666663</v>
      </c>
      <c r="BS58" s="95">
        <f t="shared" si="49"/>
        <v>733222222.22222221</v>
      </c>
      <c r="BT58" s="98">
        <f t="shared" si="99"/>
        <v>5280000000000</v>
      </c>
      <c r="BU58" s="95">
        <f t="shared" si="100"/>
        <v>660000</v>
      </c>
      <c r="BV58" s="98">
        <f t="shared" si="101"/>
        <v>396000000</v>
      </c>
      <c r="BW58" s="5"/>
      <c r="BX58" s="95">
        <f t="shared" si="102"/>
        <v>1574237904173.2341</v>
      </c>
      <c r="BY58" s="98">
        <f t="shared" si="103"/>
        <v>1417028815.0915306</v>
      </c>
      <c r="BZ58" s="90">
        <f t="shared" si="104"/>
        <v>4.2554607791698763E-2</v>
      </c>
      <c r="CA58" s="87">
        <f t="shared" si="105"/>
        <v>33.038000968421208</v>
      </c>
      <c r="CB58" s="87">
        <f t="shared" si="106"/>
        <v>216.96199903157878</v>
      </c>
      <c r="CC58" s="43">
        <f t="shared" si="107"/>
        <v>10125.000000046934</v>
      </c>
      <c r="CD58" s="11">
        <f t="shared" si="108"/>
        <v>-4.6933564590290189E-8</v>
      </c>
      <c r="CE58" s="1"/>
      <c r="CF58" s="95">
        <f t="shared" si="109"/>
        <v>271706497281.28943</v>
      </c>
      <c r="CG58" s="98">
        <f t="shared" si="110"/>
        <v>244572904.05377471</v>
      </c>
      <c r="CH58" s="105">
        <f t="shared" si="111"/>
        <v>0.20478100322259676</v>
      </c>
      <c r="CI58" s="87">
        <f t="shared" si="112"/>
        <v>18.24734113055472</v>
      </c>
      <c r="CJ58" s="87">
        <f t="shared" si="113"/>
        <v>231.75265886944527</v>
      </c>
      <c r="CK58" s="98">
        <f t="shared" si="114"/>
        <v>8373530949010.2578</v>
      </c>
      <c r="CL58" s="93"/>
    </row>
    <row r="59" spans="1:90" ht="34.9" customHeight="1">
      <c r="A59" s="20"/>
      <c r="B59" s="200"/>
      <c r="C59" s="207"/>
      <c r="D59" s="32" t="s">
        <v>97</v>
      </c>
      <c r="E59" s="32" t="s">
        <v>101</v>
      </c>
      <c r="F59" s="35">
        <v>2022</v>
      </c>
      <c r="G59" s="1"/>
      <c r="H59" s="37" t="s">
        <v>149</v>
      </c>
      <c r="I59" s="32" t="str">
        <f t="shared" si="41"/>
        <v>Discrete</v>
      </c>
      <c r="J59" s="32" t="s">
        <v>70</v>
      </c>
      <c r="K59" s="32" t="s">
        <v>30</v>
      </c>
      <c r="L59" s="38" t="s">
        <v>105</v>
      </c>
      <c r="M59" s="38" t="s">
        <v>265</v>
      </c>
      <c r="N59" s="41" t="s">
        <v>268</v>
      </c>
      <c r="O59" s="41" t="s">
        <v>270</v>
      </c>
      <c r="P59" s="2"/>
      <c r="Q59" s="50">
        <f>((2.12*1000/AE59)*5*(AE59^4)/384)/1000^3</f>
        <v>5962.5</v>
      </c>
      <c r="R59" s="54">
        <f t="shared" si="58"/>
        <v>4941.9116362402792</v>
      </c>
      <c r="S59" s="57">
        <v>4184.6992208687088</v>
      </c>
      <c r="T59" s="54">
        <f t="shared" si="79"/>
        <v>344.16564714965227</v>
      </c>
      <c r="U59" s="3" t="s">
        <v>75</v>
      </c>
      <c r="V59" s="28" t="s">
        <v>133</v>
      </c>
      <c r="W59" s="28">
        <v>3</v>
      </c>
      <c r="X59" s="28" t="s">
        <v>14</v>
      </c>
      <c r="Y59" s="32">
        <v>20</v>
      </c>
      <c r="Z59" s="32">
        <v>11000</v>
      </c>
      <c r="AA59" s="54">
        <v>690</v>
      </c>
      <c r="AB59" s="32">
        <v>20</v>
      </c>
      <c r="AC59" s="54">
        <f t="shared" si="119"/>
        <v>416.66666666666669</v>
      </c>
      <c r="AD59" s="32">
        <f t="shared" si="130"/>
        <v>20</v>
      </c>
      <c r="AE59" s="32">
        <v>6000</v>
      </c>
      <c r="AF59" s="1"/>
      <c r="AG59" s="28" t="s">
        <v>30</v>
      </c>
      <c r="AH59" s="32" t="s">
        <v>30</v>
      </c>
      <c r="AI59" s="32">
        <v>400</v>
      </c>
      <c r="AJ59" s="32">
        <v>45</v>
      </c>
      <c r="AK59" s="32">
        <v>13200</v>
      </c>
      <c r="AL59" s="1"/>
      <c r="AM59" s="64" t="s">
        <v>251</v>
      </c>
      <c r="AN59" s="28">
        <v>90</v>
      </c>
      <c r="AO59" s="32">
        <v>300</v>
      </c>
      <c r="AP59" s="54">
        <f>1000*3.78</f>
        <v>3780</v>
      </c>
      <c r="AQ59" s="1"/>
      <c r="AR59" s="50">
        <f t="shared" si="127"/>
        <v>377.5</v>
      </c>
      <c r="AS59" s="54">
        <f t="shared" si="131"/>
        <v>377.5</v>
      </c>
      <c r="AT59" s="54">
        <v>800</v>
      </c>
      <c r="AU59" s="1"/>
      <c r="AV59" s="78">
        <f t="shared" si="80"/>
        <v>6.2916666666666662E-2</v>
      </c>
      <c r="AW59" s="81">
        <f t="shared" si="81"/>
        <v>6.2916666666666662E-2</v>
      </c>
      <c r="AX59" s="84">
        <f t="shared" si="82"/>
        <v>16.943215787107508</v>
      </c>
      <c r="AY59" s="87">
        <f t="shared" si="83"/>
        <v>13.043478260869565</v>
      </c>
      <c r="AZ59" s="90">
        <f t="shared" si="84"/>
        <v>0.53</v>
      </c>
      <c r="BA59" s="32">
        <v>1.21</v>
      </c>
      <c r="BB59" s="32">
        <v>80</v>
      </c>
      <c r="BC59" s="54">
        <f t="shared" si="85"/>
        <v>25969.096157932803</v>
      </c>
      <c r="BD59" s="87">
        <f t="shared" si="86"/>
        <v>149.58282357482614</v>
      </c>
      <c r="BE59" s="87">
        <f t="shared" si="87"/>
        <v>149.58282357482614</v>
      </c>
      <c r="BF59" s="57">
        <f t="shared" si="88"/>
        <v>344.16564714965227</v>
      </c>
      <c r="BG59" s="4"/>
      <c r="BH59" s="8">
        <f t="shared" si="89"/>
        <v>2</v>
      </c>
      <c r="BI59" s="8">
        <f t="shared" si="90"/>
        <v>1</v>
      </c>
      <c r="BJ59" s="13">
        <f t="shared" si="91"/>
        <v>14944444.444444444</v>
      </c>
      <c r="BK59" s="12">
        <f t="shared" si="92"/>
        <v>60</v>
      </c>
      <c r="BL59" s="12">
        <f t="shared" si="48"/>
        <v>30</v>
      </c>
      <c r="BM59" s="12">
        <f t="shared" si="93"/>
        <v>10</v>
      </c>
      <c r="BN59" s="12">
        <f t="shared" si="94"/>
        <v>30</v>
      </c>
      <c r="BO59" s="12">
        <f t="shared" si="95"/>
        <v>50</v>
      </c>
      <c r="BP59" s="12">
        <f t="shared" si="96"/>
        <v>0</v>
      </c>
      <c r="BQ59" s="12">
        <f t="shared" si="97"/>
        <v>0</v>
      </c>
      <c r="BR59" s="92">
        <f t="shared" si="98"/>
        <v>176000000</v>
      </c>
      <c r="BS59" s="95">
        <f t="shared" si="49"/>
        <v>190944444.44444445</v>
      </c>
      <c r="BT59" s="98">
        <f t="shared" si="99"/>
        <v>3168000000000</v>
      </c>
      <c r="BU59" s="95">
        <f t="shared" si="100"/>
        <v>440000</v>
      </c>
      <c r="BV59" s="98">
        <f t="shared" si="101"/>
        <v>237600000</v>
      </c>
      <c r="BW59" s="5"/>
      <c r="BX59" s="95">
        <f t="shared" si="102"/>
        <v>799045067895.87512</v>
      </c>
      <c r="BY59" s="98">
        <f t="shared" si="103"/>
        <v>1841267657.1822319</v>
      </c>
      <c r="BZ59" s="90">
        <f t="shared" si="104"/>
        <v>2.4352815116151817E-2</v>
      </c>
      <c r="CA59" s="87">
        <f t="shared" si="105"/>
        <v>36.514692804734693</v>
      </c>
      <c r="CB59" s="87">
        <f t="shared" si="106"/>
        <v>193.48530719526531</v>
      </c>
      <c r="CC59" s="43">
        <f t="shared" si="107"/>
        <v>5962.5000002890165</v>
      </c>
      <c r="CD59" s="11">
        <f t="shared" si="108"/>
        <v>-2.8901649784529582E-7</v>
      </c>
      <c r="CE59" s="1"/>
      <c r="CF59" s="95">
        <f t="shared" si="109"/>
        <v>65716518291.85305</v>
      </c>
      <c r="CG59" s="98">
        <f t="shared" si="110"/>
        <v>151432884.74584699</v>
      </c>
      <c r="CH59" s="105">
        <f t="shared" si="111"/>
        <v>0.23283237653882075</v>
      </c>
      <c r="CI59" s="87">
        <f t="shared" si="112"/>
        <v>12.170746210084653</v>
      </c>
      <c r="CJ59" s="87">
        <f t="shared" si="113"/>
        <v>217.82925378991536</v>
      </c>
      <c r="CK59" s="98">
        <f t="shared" si="114"/>
        <v>4941911636240.2793</v>
      </c>
      <c r="CL59" s="93"/>
    </row>
    <row r="60" spans="1:90" ht="34.9" customHeight="1">
      <c r="A60" s="20"/>
      <c r="B60" s="200"/>
      <c r="C60" s="207"/>
      <c r="D60" s="32" t="s">
        <v>97</v>
      </c>
      <c r="E60" s="32" t="s">
        <v>102</v>
      </c>
      <c r="F60" s="35">
        <v>2022</v>
      </c>
      <c r="G60" s="1"/>
      <c r="H60" s="37" t="s">
        <v>149</v>
      </c>
      <c r="I60" s="32" t="str">
        <f t="shared" si="41"/>
        <v>Glue</v>
      </c>
      <c r="J60" s="32" t="s">
        <v>70</v>
      </c>
      <c r="K60" s="32" t="s">
        <v>30</v>
      </c>
      <c r="L60" s="38" t="s">
        <v>105</v>
      </c>
      <c r="M60" s="38" t="s">
        <v>265</v>
      </c>
      <c r="N60" s="41" t="s">
        <v>268</v>
      </c>
      <c r="O60" s="41" t="s">
        <v>270</v>
      </c>
      <c r="P60" s="2"/>
      <c r="Q60" s="50">
        <f>((3.53*1000/AE60)*5*(AE60^4)/384)/1000^3</f>
        <v>9928.1250000000018</v>
      </c>
      <c r="R60" s="54">
        <f t="shared" si="58"/>
        <v>8288.6863642608114</v>
      </c>
      <c r="S60" s="57">
        <v>605.61888666387449</v>
      </c>
      <c r="T60" s="54">
        <f t="shared" si="79"/>
        <v>344.16564714965227</v>
      </c>
      <c r="U60" s="3" t="s">
        <v>75</v>
      </c>
      <c r="V60" s="28" t="s">
        <v>133</v>
      </c>
      <c r="W60" s="28">
        <v>3</v>
      </c>
      <c r="X60" s="28" t="s">
        <v>14</v>
      </c>
      <c r="Y60" s="32">
        <v>20</v>
      </c>
      <c r="Z60" s="32">
        <v>11000</v>
      </c>
      <c r="AA60" s="54">
        <v>690</v>
      </c>
      <c r="AB60" s="32">
        <v>20</v>
      </c>
      <c r="AC60" s="54">
        <f t="shared" si="119"/>
        <v>416.66666666666669</v>
      </c>
      <c r="AD60" s="32">
        <f t="shared" si="130"/>
        <v>20</v>
      </c>
      <c r="AE60" s="32">
        <v>6000</v>
      </c>
      <c r="AF60" s="1"/>
      <c r="AG60" s="28" t="s">
        <v>30</v>
      </c>
      <c r="AH60" s="32" t="s">
        <v>30</v>
      </c>
      <c r="AI60" s="32">
        <v>400</v>
      </c>
      <c r="AJ60" s="32">
        <v>45</v>
      </c>
      <c r="AK60" s="32">
        <v>13200</v>
      </c>
      <c r="AL60" s="1"/>
      <c r="AM60" s="64" t="s">
        <v>20</v>
      </c>
      <c r="AN60" s="28">
        <v>90</v>
      </c>
      <c r="AO60" s="32" t="s">
        <v>14</v>
      </c>
      <c r="AP60" s="54" t="s">
        <v>14</v>
      </c>
      <c r="AQ60" s="1"/>
      <c r="AR60" s="50">
        <f t="shared" si="127"/>
        <v>377.5</v>
      </c>
      <c r="AS60" s="54">
        <f t="shared" si="131"/>
        <v>377.5</v>
      </c>
      <c r="AT60" s="54">
        <v>800</v>
      </c>
      <c r="AU60" s="1"/>
      <c r="AV60" s="78">
        <f t="shared" si="80"/>
        <v>6.2916666666666662E-2</v>
      </c>
      <c r="AW60" s="81">
        <f t="shared" si="81"/>
        <v>6.2916666666666662E-2</v>
      </c>
      <c r="AX60" s="84">
        <f t="shared" si="82"/>
        <v>16.943215787107508</v>
      </c>
      <c r="AY60" s="87">
        <f t="shared" si="83"/>
        <v>13.043478260869565</v>
      </c>
      <c r="AZ60" s="90">
        <f t="shared" si="84"/>
        <v>0.53</v>
      </c>
      <c r="BA60" s="32">
        <v>1.21</v>
      </c>
      <c r="BB60" s="32">
        <v>80</v>
      </c>
      <c r="BC60" s="54">
        <f t="shared" si="85"/>
        <v>25969.096157932803</v>
      </c>
      <c r="BD60" s="87">
        <f t="shared" si="86"/>
        <v>149.58282357482614</v>
      </c>
      <c r="BE60" s="87">
        <f t="shared" si="87"/>
        <v>149.58282357482614</v>
      </c>
      <c r="BF60" s="57">
        <f t="shared" si="88"/>
        <v>344.16564714965227</v>
      </c>
      <c r="BG60" s="4"/>
      <c r="BH60" s="8">
        <f t="shared" si="89"/>
        <v>2</v>
      </c>
      <c r="BI60" s="8">
        <f t="shared" si="90"/>
        <v>1</v>
      </c>
      <c r="BJ60" s="13">
        <f t="shared" si="91"/>
        <v>14944444.444444444</v>
      </c>
      <c r="BK60" s="12">
        <f t="shared" si="92"/>
        <v>60</v>
      </c>
      <c r="BL60" s="12">
        <f t="shared" si="48"/>
        <v>30</v>
      </c>
      <c r="BM60" s="12">
        <f t="shared" si="93"/>
        <v>10</v>
      </c>
      <c r="BN60" s="12">
        <f t="shared" si="94"/>
        <v>30</v>
      </c>
      <c r="BO60" s="12">
        <f t="shared" si="95"/>
        <v>50</v>
      </c>
      <c r="BP60" s="12">
        <f t="shared" si="96"/>
        <v>0</v>
      </c>
      <c r="BQ60" s="12">
        <f t="shared" si="97"/>
        <v>0</v>
      </c>
      <c r="BR60" s="92">
        <f t="shared" si="98"/>
        <v>176000000</v>
      </c>
      <c r="BS60" s="95">
        <f t="shared" si="49"/>
        <v>190944444.44444445</v>
      </c>
      <c r="BT60" s="98">
        <f t="shared" si="99"/>
        <v>3168000000000</v>
      </c>
      <c r="BU60" s="95">
        <f t="shared" si="100"/>
        <v>440000</v>
      </c>
      <c r="BV60" s="98">
        <f t="shared" si="101"/>
        <v>237600000</v>
      </c>
      <c r="BW60" s="5"/>
      <c r="BX60" s="95">
        <f t="shared" si="102"/>
        <v>115639561859.09648</v>
      </c>
      <c r="BY60" s="98">
        <f t="shared" si="103"/>
        <v>266472310.13210478</v>
      </c>
      <c r="BZ60" s="90">
        <f t="shared" si="104"/>
        <v>1</v>
      </c>
      <c r="CA60" s="87">
        <f t="shared" si="105"/>
        <v>121.58698285633243</v>
      </c>
      <c r="CB60" s="87">
        <f t="shared" si="106"/>
        <v>108.41301714366757</v>
      </c>
      <c r="CC60" s="43">
        <f t="shared" si="107"/>
        <v>9928.1250009919495</v>
      </c>
      <c r="CD60" s="11">
        <f t="shared" si="108"/>
        <v>-9.9194767244625837E-7</v>
      </c>
      <c r="CE60" s="1"/>
      <c r="CF60" s="95">
        <f t="shared" si="109"/>
        <v>65716518291.85305</v>
      </c>
      <c r="CG60" s="98">
        <f t="shared" si="110"/>
        <v>151432884.74584699</v>
      </c>
      <c r="CH60" s="105">
        <f t="shared" si="111"/>
        <v>1</v>
      </c>
      <c r="CI60" s="87">
        <f t="shared" si="112"/>
        <v>69.096363342030926</v>
      </c>
      <c r="CJ60" s="87">
        <f t="shared" si="113"/>
        <v>160.90363665796906</v>
      </c>
      <c r="CK60" s="98">
        <f t="shared" si="114"/>
        <v>8288686364260.8105</v>
      </c>
      <c r="CL60" s="93"/>
    </row>
    <row r="61" spans="1:90" ht="34.9" customHeight="1">
      <c r="A61" s="20"/>
      <c r="B61" s="200"/>
      <c r="C61" s="207"/>
      <c r="D61" s="32" t="s">
        <v>97</v>
      </c>
      <c r="E61" s="32" t="s">
        <v>103</v>
      </c>
      <c r="F61" s="35">
        <v>2022</v>
      </c>
      <c r="G61" s="1"/>
      <c r="H61" s="37" t="s">
        <v>149</v>
      </c>
      <c r="I61" s="32" t="str">
        <f t="shared" si="41"/>
        <v>Discrete</v>
      </c>
      <c r="J61" s="32" t="s">
        <v>70</v>
      </c>
      <c r="K61" s="32" t="s">
        <v>72</v>
      </c>
      <c r="L61" s="38" t="s">
        <v>105</v>
      </c>
      <c r="M61" s="38" t="s">
        <v>265</v>
      </c>
      <c r="N61" s="41" t="s">
        <v>268</v>
      </c>
      <c r="O61" s="41" t="s">
        <v>270</v>
      </c>
      <c r="P61" s="2"/>
      <c r="Q61" s="50">
        <f>((3.16*1000/AE61)*5*(AE61^4)/384)/1000^3</f>
        <v>8887.4999999999982</v>
      </c>
      <c r="R61" s="54">
        <f t="shared" si="58"/>
        <v>8632.9915974790001</v>
      </c>
      <c r="S61" s="57">
        <v>449.85500601065161</v>
      </c>
      <c r="T61" s="54">
        <f t="shared" si="79"/>
        <v>371.86262834174477</v>
      </c>
      <c r="U61" s="3" t="s">
        <v>75</v>
      </c>
      <c r="V61" s="28" t="s">
        <v>133</v>
      </c>
      <c r="W61" s="28">
        <v>3</v>
      </c>
      <c r="X61" s="28" t="s">
        <v>14</v>
      </c>
      <c r="Y61" s="32">
        <v>20</v>
      </c>
      <c r="Z61" s="32">
        <v>11000</v>
      </c>
      <c r="AA61" s="54">
        <v>690</v>
      </c>
      <c r="AB61" s="32">
        <v>20</v>
      </c>
      <c r="AC61" s="54">
        <f t="shared" si="119"/>
        <v>416.66666666666669</v>
      </c>
      <c r="AD61" s="32">
        <f t="shared" si="130"/>
        <v>20</v>
      </c>
      <c r="AE61" s="32">
        <v>6000</v>
      </c>
      <c r="AF61" s="1"/>
      <c r="AG61" s="28" t="s">
        <v>72</v>
      </c>
      <c r="AH61" s="32" t="s">
        <v>106</v>
      </c>
      <c r="AI61" s="32">
        <v>360</v>
      </c>
      <c r="AJ61" s="32">
        <v>85</v>
      </c>
      <c r="AK61" s="32">
        <v>16700</v>
      </c>
      <c r="AL61" s="1"/>
      <c r="AM61" s="64" t="s">
        <v>251</v>
      </c>
      <c r="AN61" s="28">
        <v>90</v>
      </c>
      <c r="AO61" s="32">
        <v>300</v>
      </c>
      <c r="AP61" s="54">
        <f>1000*12.8</f>
        <v>12800</v>
      </c>
      <c r="AQ61" s="1"/>
      <c r="AR61" s="50">
        <f t="shared" si="127"/>
        <v>357.5</v>
      </c>
      <c r="AS61" s="54">
        <f t="shared" si="131"/>
        <v>357.5</v>
      </c>
      <c r="AT61" s="54">
        <v>800</v>
      </c>
      <c r="AU61" s="1"/>
      <c r="AV61" s="78">
        <f t="shared" si="80"/>
        <v>5.9583333333333335E-2</v>
      </c>
      <c r="AW61" s="81">
        <f t="shared" si="81"/>
        <v>5.9583333333333335E-2</v>
      </c>
      <c r="AX61" s="84">
        <f t="shared" si="82"/>
        <v>16.943215787107508</v>
      </c>
      <c r="AY61" s="87">
        <f t="shared" si="83"/>
        <v>14.285714285714286</v>
      </c>
      <c r="AZ61" s="90">
        <f t="shared" si="84"/>
        <v>0.53</v>
      </c>
      <c r="BA61" s="32">
        <v>1.21</v>
      </c>
      <c r="BB61" s="32">
        <v>80</v>
      </c>
      <c r="BC61" s="54">
        <f t="shared" si="85"/>
        <v>25969.096157932803</v>
      </c>
      <c r="BD61" s="87">
        <f t="shared" si="86"/>
        <v>143.43131417087238</v>
      </c>
      <c r="BE61" s="87">
        <f t="shared" si="87"/>
        <v>143.43131417087238</v>
      </c>
      <c r="BF61" s="57">
        <f t="shared" si="88"/>
        <v>371.86262834174477</v>
      </c>
      <c r="BG61" s="4"/>
      <c r="BH61" s="8">
        <f t="shared" si="89"/>
        <v>2</v>
      </c>
      <c r="BI61" s="8">
        <f t="shared" si="90"/>
        <v>1</v>
      </c>
      <c r="BJ61" s="13">
        <f t="shared" si="91"/>
        <v>14944444.444444444</v>
      </c>
      <c r="BK61" s="12">
        <f t="shared" si="92"/>
        <v>60</v>
      </c>
      <c r="BL61" s="12">
        <f t="shared" si="48"/>
        <v>30</v>
      </c>
      <c r="BM61" s="12">
        <f t="shared" si="93"/>
        <v>10</v>
      </c>
      <c r="BN61" s="12">
        <f t="shared" si="94"/>
        <v>30</v>
      </c>
      <c r="BO61" s="12">
        <f t="shared" si="95"/>
        <v>50</v>
      </c>
      <c r="BP61" s="12">
        <f t="shared" si="96"/>
        <v>0</v>
      </c>
      <c r="BQ61" s="12">
        <f t="shared" si="97"/>
        <v>0</v>
      </c>
      <c r="BR61" s="92">
        <f t="shared" si="98"/>
        <v>176000000</v>
      </c>
      <c r="BS61" s="95">
        <f t="shared" si="49"/>
        <v>190944444.44444445</v>
      </c>
      <c r="BT61" s="98">
        <f t="shared" si="99"/>
        <v>5519016000000</v>
      </c>
      <c r="BU61" s="95">
        <f t="shared" si="100"/>
        <v>440000</v>
      </c>
      <c r="BV61" s="98">
        <f t="shared" si="101"/>
        <v>511020000</v>
      </c>
      <c r="BW61" s="5"/>
      <c r="BX61" s="95">
        <f t="shared" si="102"/>
        <v>85897314203.256088</v>
      </c>
      <c r="BY61" s="98">
        <f t="shared" si="103"/>
        <v>197936202.6446867</v>
      </c>
      <c r="BZ61" s="90">
        <f t="shared" si="104"/>
        <v>0.44017111440783518</v>
      </c>
      <c r="CA61" s="87">
        <f t="shared" si="105"/>
        <v>30.588558513000645</v>
      </c>
      <c r="CB61" s="87">
        <f t="shared" si="106"/>
        <v>179.41144148699937</v>
      </c>
      <c r="CC61" s="43">
        <f t="shared" si="107"/>
        <v>8887.5000001791086</v>
      </c>
      <c r="CD61" s="11">
        <f t="shared" si="108"/>
        <v>-1.7911042959894985E-7</v>
      </c>
      <c r="CE61" s="1"/>
      <c r="CF61" s="95">
        <f t="shared" si="109"/>
        <v>71005102978.365372</v>
      </c>
      <c r="CG61" s="98">
        <f t="shared" si="110"/>
        <v>163619556.4703677</v>
      </c>
      <c r="CH61" s="105">
        <f t="shared" si="111"/>
        <v>0.48748591062918994</v>
      </c>
      <c r="CI61" s="87">
        <f t="shared" si="112"/>
        <v>27.571624133043034</v>
      </c>
      <c r="CJ61" s="87">
        <f t="shared" si="113"/>
        <v>182.42837586695697</v>
      </c>
      <c r="CK61" s="98">
        <f t="shared" si="114"/>
        <v>8632991597479.001</v>
      </c>
      <c r="CL61" s="93"/>
    </row>
    <row r="62" spans="1:90" ht="34.9" customHeight="1">
      <c r="A62" s="20"/>
      <c r="B62" s="200"/>
      <c r="C62" s="208"/>
      <c r="D62" s="36" t="s">
        <v>97</v>
      </c>
      <c r="E62" s="36" t="s">
        <v>104</v>
      </c>
      <c r="F62" s="121">
        <v>2022</v>
      </c>
      <c r="G62" s="1"/>
      <c r="H62" s="114" t="s">
        <v>149</v>
      </c>
      <c r="I62" s="36" t="str">
        <f t="shared" si="41"/>
        <v>Discrete</v>
      </c>
      <c r="J62" s="36" t="s">
        <v>69</v>
      </c>
      <c r="K62" s="36" t="s">
        <v>72</v>
      </c>
      <c r="L62" s="39" t="s">
        <v>105</v>
      </c>
      <c r="M62" s="39" t="s">
        <v>265</v>
      </c>
      <c r="N62" s="42" t="s">
        <v>268</v>
      </c>
      <c r="O62" s="42" t="s">
        <v>270</v>
      </c>
      <c r="P62" s="2"/>
      <c r="Q62" s="51">
        <f>((2.35*1000/AE62)*5*(AE62^4)/384)/1000^3</f>
        <v>6609.375</v>
      </c>
      <c r="R62" s="55">
        <f t="shared" si="58"/>
        <v>6743.3774970290224</v>
      </c>
      <c r="S62" s="58">
        <v>243.63671267911505</v>
      </c>
      <c r="T62" s="55">
        <f t="shared" si="79"/>
        <v>377.30827169669215</v>
      </c>
      <c r="U62" s="3" t="s">
        <v>75</v>
      </c>
      <c r="V62" s="29" t="s">
        <v>133</v>
      </c>
      <c r="W62" s="29">
        <v>5</v>
      </c>
      <c r="X62" s="29" t="s">
        <v>14</v>
      </c>
      <c r="Y62" s="36">
        <v>20</v>
      </c>
      <c r="Z62" s="36">
        <v>11000</v>
      </c>
      <c r="AA62" s="55">
        <v>690</v>
      </c>
      <c r="AB62" s="36">
        <v>20</v>
      </c>
      <c r="AC62" s="55">
        <f t="shared" si="119"/>
        <v>416.66666666666669</v>
      </c>
      <c r="AD62" s="36">
        <f t="shared" si="130"/>
        <v>20</v>
      </c>
      <c r="AE62" s="36">
        <v>6000</v>
      </c>
      <c r="AF62" s="1"/>
      <c r="AG62" s="29" t="s">
        <v>72</v>
      </c>
      <c r="AH62" s="36" t="s">
        <v>106</v>
      </c>
      <c r="AI62" s="36">
        <v>360</v>
      </c>
      <c r="AJ62" s="36">
        <v>85</v>
      </c>
      <c r="AK62" s="36">
        <v>16700</v>
      </c>
      <c r="AL62" s="1"/>
      <c r="AM62" s="66" t="s">
        <v>252</v>
      </c>
      <c r="AN62" s="29">
        <v>90</v>
      </c>
      <c r="AO62" s="36">
        <v>300</v>
      </c>
      <c r="AP62" s="55">
        <f>1000*1.65</f>
        <v>1650</v>
      </c>
      <c r="AQ62" s="1"/>
      <c r="AR62" s="51">
        <f t="shared" si="127"/>
        <v>357.5</v>
      </c>
      <c r="AS62" s="55">
        <f t="shared" si="131"/>
        <v>357.5</v>
      </c>
      <c r="AT62" s="55">
        <v>800</v>
      </c>
      <c r="AU62" s="1"/>
      <c r="AV62" s="79">
        <f t="shared" si="80"/>
        <v>5.9583333333333335E-2</v>
      </c>
      <c r="AW62" s="82">
        <f t="shared" si="81"/>
        <v>5.9583333333333335E-2</v>
      </c>
      <c r="AX62" s="85">
        <f t="shared" si="82"/>
        <v>14.17650235611517</v>
      </c>
      <c r="AY62" s="88">
        <f t="shared" si="83"/>
        <v>13.043478260869565</v>
      </c>
      <c r="AZ62" s="91">
        <f t="shared" si="84"/>
        <v>0.43</v>
      </c>
      <c r="BA62" s="36">
        <v>1.21</v>
      </c>
      <c r="BB62" s="36">
        <v>80</v>
      </c>
      <c r="BC62" s="55">
        <f t="shared" si="85"/>
        <v>46555.912270934918</v>
      </c>
      <c r="BD62" s="88">
        <f t="shared" si="86"/>
        <v>146.15413584834607</v>
      </c>
      <c r="BE62" s="88">
        <f t="shared" si="87"/>
        <v>146.15413584834607</v>
      </c>
      <c r="BF62" s="58">
        <f t="shared" si="88"/>
        <v>377.30827169669215</v>
      </c>
      <c r="BG62" s="4"/>
      <c r="BH62" s="115">
        <f t="shared" si="89"/>
        <v>3</v>
      </c>
      <c r="BI62" s="115">
        <f t="shared" si="90"/>
        <v>2</v>
      </c>
      <c r="BJ62" s="116">
        <f t="shared" si="91"/>
        <v>22555555.555555556</v>
      </c>
      <c r="BK62" s="117">
        <f t="shared" si="92"/>
        <v>100</v>
      </c>
      <c r="BL62" s="117">
        <f t="shared" si="48"/>
        <v>50</v>
      </c>
      <c r="BM62" s="117">
        <f t="shared" si="93"/>
        <v>10</v>
      </c>
      <c r="BN62" s="117">
        <f t="shared" si="94"/>
        <v>30</v>
      </c>
      <c r="BO62" s="117">
        <f t="shared" si="95"/>
        <v>50</v>
      </c>
      <c r="BP62" s="117">
        <f t="shared" si="96"/>
        <v>70</v>
      </c>
      <c r="BQ62" s="117">
        <f t="shared" si="97"/>
        <v>90</v>
      </c>
      <c r="BR62" s="118">
        <f t="shared" si="98"/>
        <v>710666666.66666663</v>
      </c>
      <c r="BS62" s="96">
        <f t="shared" si="49"/>
        <v>733222222.22222221</v>
      </c>
      <c r="BT62" s="99">
        <f t="shared" si="99"/>
        <v>5519016000000</v>
      </c>
      <c r="BU62" s="96">
        <f t="shared" si="100"/>
        <v>660000</v>
      </c>
      <c r="BV62" s="99">
        <f t="shared" si="101"/>
        <v>511020000</v>
      </c>
      <c r="BW62" s="5"/>
      <c r="BX62" s="96">
        <f t="shared" si="102"/>
        <v>178639851885.4978</v>
      </c>
      <c r="BY62" s="99">
        <f t="shared" si="103"/>
        <v>160800230.36821592</v>
      </c>
      <c r="BZ62" s="91">
        <f t="shared" si="104"/>
        <v>0.11092221584736617</v>
      </c>
      <c r="CA62" s="88">
        <f t="shared" si="105"/>
        <v>7.7570277020965364</v>
      </c>
      <c r="CB62" s="88">
        <f t="shared" si="106"/>
        <v>222.24297229790346</v>
      </c>
      <c r="CC62" s="119">
        <f t="shared" si="107"/>
        <v>6609.3750000403334</v>
      </c>
      <c r="CD62" s="120">
        <f t="shared" si="108"/>
        <v>-4.0333361539524049E-8</v>
      </c>
      <c r="CE62" s="1"/>
      <c r="CF62" s="96">
        <f t="shared" si="109"/>
        <v>276650809436.2746</v>
      </c>
      <c r="CG62" s="99">
        <f t="shared" si="110"/>
        <v>249023459.31981683</v>
      </c>
      <c r="CH62" s="106">
        <f t="shared" si="111"/>
        <v>7.4554844599306141E-2</v>
      </c>
      <c r="CI62" s="88">
        <f t="shared" si="112"/>
        <v>8.1646067751867619</v>
      </c>
      <c r="CJ62" s="88">
        <f t="shared" si="113"/>
        <v>221.83539322481323</v>
      </c>
      <c r="CK62" s="99">
        <f t="shared" si="114"/>
        <v>6743377497029.0225</v>
      </c>
      <c r="CL62" s="93"/>
    </row>
    <row r="63" spans="1:90" ht="34.9" customHeight="1">
      <c r="A63" s="20"/>
      <c r="B63" s="200" t="s">
        <v>289</v>
      </c>
      <c r="C63" s="201" t="s">
        <v>307</v>
      </c>
      <c r="D63" s="31" t="s">
        <v>16</v>
      </c>
      <c r="E63" s="31" t="s">
        <v>7</v>
      </c>
      <c r="F63" s="108">
        <v>2022</v>
      </c>
      <c r="G63" s="1"/>
      <c r="H63" s="109" t="s">
        <v>150</v>
      </c>
      <c r="I63" s="31" t="str">
        <f t="shared" si="41"/>
        <v>Discrete</v>
      </c>
      <c r="J63" s="31" t="s">
        <v>70</v>
      </c>
      <c r="K63" s="31" t="s">
        <v>72</v>
      </c>
      <c r="L63" s="110" t="s">
        <v>65</v>
      </c>
      <c r="M63" s="110" t="s">
        <v>264</v>
      </c>
      <c r="N63" s="110" t="s">
        <v>268</v>
      </c>
      <c r="O63" s="110" t="s">
        <v>270</v>
      </c>
      <c r="P63" s="2"/>
      <c r="Q63" s="49">
        <f>(47693/2)</f>
        <v>23846.5</v>
      </c>
      <c r="R63" s="53">
        <f t="shared" si="58"/>
        <v>28365.809649037881</v>
      </c>
      <c r="S63" s="56">
        <v>334.05245407215256</v>
      </c>
      <c r="T63" s="53">
        <f t="shared" si="79"/>
        <v>567.04257231115287</v>
      </c>
      <c r="U63" s="3" t="s">
        <v>75</v>
      </c>
      <c r="V63" s="27" t="s">
        <v>61</v>
      </c>
      <c r="W63" s="27">
        <f t="shared" ref="W63:W68" si="132">IF(J63="3-Ply", 3,5)</f>
        <v>3</v>
      </c>
      <c r="X63" s="27" t="s">
        <v>14</v>
      </c>
      <c r="Y63" s="31">
        <v>35</v>
      </c>
      <c r="Z63" s="31">
        <v>11700</v>
      </c>
      <c r="AA63" s="53">
        <f>Z63/16</f>
        <v>731.25</v>
      </c>
      <c r="AB63" s="31">
        <v>35</v>
      </c>
      <c r="AC63" s="53">
        <f>10000/30</f>
        <v>333.33333333333331</v>
      </c>
      <c r="AD63" s="31">
        <f t="shared" ref="AD63:AD74" si="133">MAX(Y63,AB63)</f>
        <v>35</v>
      </c>
      <c r="AE63" s="31">
        <v>8944</v>
      </c>
      <c r="AF63" s="1"/>
      <c r="AG63" s="27" t="s">
        <v>72</v>
      </c>
      <c r="AH63" s="31" t="s">
        <v>13</v>
      </c>
      <c r="AI63" s="31">
        <v>380</v>
      </c>
      <c r="AJ63" s="31">
        <v>215</v>
      </c>
      <c r="AK63" s="31">
        <v>12800</v>
      </c>
      <c r="AL63" s="1"/>
      <c r="AM63" s="63" t="s">
        <v>253</v>
      </c>
      <c r="AN63" s="27">
        <v>90</v>
      </c>
      <c r="AO63" s="31">
        <v>75</v>
      </c>
      <c r="AP63" s="53">
        <f>2*5900</f>
        <v>11800</v>
      </c>
      <c r="AQ63" s="1"/>
      <c r="AR63" s="49">
        <f t="shared" ref="AR63:AR68" si="134">412-AJ63/2</f>
        <v>304.5</v>
      </c>
      <c r="AS63" s="53">
        <f t="shared" ref="AS63:AS68" si="135">802-AJ63</f>
        <v>587</v>
      </c>
      <c r="AT63" s="53">
        <f t="shared" ref="AT63:AT68" si="136">AR63+AJ63+AS63</f>
        <v>1106.5</v>
      </c>
      <c r="AU63" s="1"/>
      <c r="AV63" s="77">
        <f t="shared" si="80"/>
        <v>3.4045169946332735E-2</v>
      </c>
      <c r="AW63" s="80">
        <f t="shared" si="81"/>
        <v>6.5630590339892672E-2</v>
      </c>
      <c r="AX63" s="83">
        <f>BU63/BC63</f>
        <v>23.141630435987377</v>
      </c>
      <c r="AY63" s="86">
        <f t="shared" si="83"/>
        <v>18.44123711340206</v>
      </c>
      <c r="AZ63" s="89">
        <f t="shared" si="84"/>
        <v>0.53</v>
      </c>
      <c r="BA63" s="31">
        <v>1.21</v>
      </c>
      <c r="BB63" s="31">
        <v>80</v>
      </c>
      <c r="BC63" s="53">
        <f t="shared" si="85"/>
        <v>35390.764806544452</v>
      </c>
      <c r="BD63" s="86">
        <f t="shared" si="86"/>
        <v>131.33381009401282</v>
      </c>
      <c r="BE63" s="86">
        <f t="shared" si="87"/>
        <v>220.70876221714005</v>
      </c>
      <c r="BF63" s="56">
        <f t="shared" si="88"/>
        <v>567.04257231115287</v>
      </c>
      <c r="BG63" s="4"/>
      <c r="BH63" s="23">
        <f t="shared" si="89"/>
        <v>2</v>
      </c>
      <c r="BI63" s="23">
        <f t="shared" si="90"/>
        <v>1</v>
      </c>
      <c r="BJ63" s="30">
        <f t="shared" si="91"/>
        <v>84797222.222222224</v>
      </c>
      <c r="BK63" s="75">
        <f t="shared" si="92"/>
        <v>105</v>
      </c>
      <c r="BL63" s="75">
        <f t="shared" si="48"/>
        <v>52.5</v>
      </c>
      <c r="BM63" s="75">
        <f t="shared" si="93"/>
        <v>17.5</v>
      </c>
      <c r="BN63" s="75">
        <f t="shared" si="94"/>
        <v>52.5</v>
      </c>
      <c r="BO63" s="75">
        <f t="shared" si="95"/>
        <v>87.5</v>
      </c>
      <c r="BP63" s="75">
        <f t="shared" si="96"/>
        <v>0</v>
      </c>
      <c r="BQ63" s="75">
        <f t="shared" si="97"/>
        <v>0</v>
      </c>
      <c r="BR63" s="113">
        <f t="shared" si="98"/>
        <v>1003275000</v>
      </c>
      <c r="BS63" s="94">
        <f t="shared" si="49"/>
        <v>1088072222.2222223</v>
      </c>
      <c r="BT63" s="97">
        <f t="shared" si="99"/>
        <v>12583978666666.668</v>
      </c>
      <c r="BU63" s="94">
        <f t="shared" si="100"/>
        <v>819000</v>
      </c>
      <c r="BV63" s="97">
        <f t="shared" si="101"/>
        <v>1045760000</v>
      </c>
      <c r="BW63" s="5"/>
      <c r="BX63" s="94">
        <f t="shared" si="102"/>
        <v>363473196041.07391</v>
      </c>
      <c r="BY63" s="97">
        <f t="shared" si="103"/>
        <v>273588959.88509297</v>
      </c>
      <c r="BZ63" s="89">
        <f t="shared" si="104"/>
        <v>0.82335507808136332</v>
      </c>
      <c r="CA63" s="86">
        <f t="shared" si="105"/>
        <v>42.977861461653021</v>
      </c>
      <c r="CB63" s="86">
        <f t="shared" si="106"/>
        <v>199.52213853834698</v>
      </c>
      <c r="CC63" s="46">
        <f t="shared" si="107"/>
        <v>23846.500000226275</v>
      </c>
      <c r="CD63" s="76">
        <f t="shared" si="108"/>
        <v>-2.2627500584349036E-7</v>
      </c>
      <c r="CE63" s="1"/>
      <c r="CF63" s="94">
        <f t="shared" si="109"/>
        <v>616983271749.20129</v>
      </c>
      <c r="CG63" s="97">
        <f t="shared" si="110"/>
        <v>464407866.72283417</v>
      </c>
      <c r="CH63" s="104">
        <f t="shared" si="111"/>
        <v>0.73304159148642711</v>
      </c>
      <c r="CI63" s="86">
        <f t="shared" si="112"/>
        <v>66.238901321096947</v>
      </c>
      <c r="CJ63" s="86">
        <f t="shared" si="113"/>
        <v>176.26109867890307</v>
      </c>
      <c r="CK63" s="97">
        <f t="shared" si="114"/>
        <v>28365809649037.883</v>
      </c>
      <c r="CL63" s="93"/>
    </row>
    <row r="64" spans="1:90" ht="34.9" customHeight="1">
      <c r="A64" s="20"/>
      <c r="B64" s="200"/>
      <c r="C64" s="201"/>
      <c r="D64" s="32" t="s">
        <v>16</v>
      </c>
      <c r="E64" s="32" t="s">
        <v>8</v>
      </c>
      <c r="F64" s="35">
        <v>2022</v>
      </c>
      <c r="G64" s="1"/>
      <c r="H64" s="37" t="s">
        <v>150</v>
      </c>
      <c r="I64" s="32" t="str">
        <f t="shared" si="41"/>
        <v>Discrete</v>
      </c>
      <c r="J64" s="32" t="s">
        <v>70</v>
      </c>
      <c r="K64" s="32" t="s">
        <v>72</v>
      </c>
      <c r="L64" s="38" t="s">
        <v>65</v>
      </c>
      <c r="M64" s="38" t="s">
        <v>264</v>
      </c>
      <c r="N64" s="38" t="s">
        <v>268</v>
      </c>
      <c r="O64" s="38" t="s">
        <v>270</v>
      </c>
      <c r="P64" s="2"/>
      <c r="Q64" s="50">
        <f>(45257/2)</f>
        <v>22628.5</v>
      </c>
      <c r="R64" s="54">
        <f t="shared" si="58"/>
        <v>28399.880853897859</v>
      </c>
      <c r="S64" s="57">
        <v>283.95788217179006</v>
      </c>
      <c r="T64" s="54">
        <f t="shared" si="79"/>
        <v>567.04257231115287</v>
      </c>
      <c r="U64" s="3" t="s">
        <v>75</v>
      </c>
      <c r="V64" s="28" t="s">
        <v>61</v>
      </c>
      <c r="W64" s="28">
        <f t="shared" si="132"/>
        <v>3</v>
      </c>
      <c r="X64" s="28" t="s">
        <v>14</v>
      </c>
      <c r="Y64" s="32">
        <f t="shared" ref="Y64:AB64" si="137">Y63</f>
        <v>35</v>
      </c>
      <c r="Z64" s="32">
        <v>11700</v>
      </c>
      <c r="AA64" s="54">
        <f t="shared" ref="AA64:AA70" si="138">Z64/16</f>
        <v>731.25</v>
      </c>
      <c r="AB64" s="32">
        <f t="shared" si="137"/>
        <v>35</v>
      </c>
      <c r="AC64" s="54">
        <f t="shared" ref="AC64:AC67" si="139">10000/30</f>
        <v>333.33333333333331</v>
      </c>
      <c r="AD64" s="32">
        <f t="shared" si="133"/>
        <v>35</v>
      </c>
      <c r="AE64" s="32">
        <f t="shared" ref="AE64:AH67" si="140">AE63</f>
        <v>8944</v>
      </c>
      <c r="AF64" s="1"/>
      <c r="AG64" s="28" t="s">
        <v>72</v>
      </c>
      <c r="AH64" s="32" t="str">
        <f t="shared" si="140"/>
        <v>DFL 24f-E</v>
      </c>
      <c r="AI64" s="32">
        <v>380</v>
      </c>
      <c r="AJ64" s="32">
        <v>215</v>
      </c>
      <c r="AK64" s="32">
        <v>12800</v>
      </c>
      <c r="AL64" s="1"/>
      <c r="AM64" s="64" t="s">
        <v>253</v>
      </c>
      <c r="AN64" s="28">
        <v>90</v>
      </c>
      <c r="AO64" s="32">
        <v>75</v>
      </c>
      <c r="AP64" s="54">
        <f>2*5900</f>
        <v>11800</v>
      </c>
      <c r="AQ64" s="1"/>
      <c r="AR64" s="50">
        <f t="shared" si="134"/>
        <v>304.5</v>
      </c>
      <c r="AS64" s="54">
        <f t="shared" si="135"/>
        <v>587</v>
      </c>
      <c r="AT64" s="54">
        <f t="shared" si="136"/>
        <v>1106.5</v>
      </c>
      <c r="AU64" s="1"/>
      <c r="AV64" s="78">
        <f t="shared" si="80"/>
        <v>3.4045169946332735E-2</v>
      </c>
      <c r="AW64" s="81">
        <f t="shared" si="81"/>
        <v>6.5630590339892672E-2</v>
      </c>
      <c r="AX64" s="84">
        <f t="shared" si="82"/>
        <v>23.141630435987377</v>
      </c>
      <c r="AY64" s="87">
        <f t="shared" si="83"/>
        <v>18.44123711340206</v>
      </c>
      <c r="AZ64" s="90">
        <f t="shared" si="84"/>
        <v>0.53</v>
      </c>
      <c r="BA64" s="32">
        <v>1.21</v>
      </c>
      <c r="BB64" s="32">
        <v>80</v>
      </c>
      <c r="BC64" s="54">
        <f t="shared" si="85"/>
        <v>35390.764806544452</v>
      </c>
      <c r="BD64" s="87">
        <f t="shared" si="86"/>
        <v>131.33381009401282</v>
      </c>
      <c r="BE64" s="87">
        <f t="shared" si="87"/>
        <v>220.70876221714005</v>
      </c>
      <c r="BF64" s="57">
        <f t="shared" si="88"/>
        <v>567.04257231115287</v>
      </c>
      <c r="BG64" s="4"/>
      <c r="BH64" s="8">
        <f t="shared" si="89"/>
        <v>2</v>
      </c>
      <c r="BI64" s="8">
        <f t="shared" si="90"/>
        <v>1</v>
      </c>
      <c r="BJ64" s="13">
        <f t="shared" si="91"/>
        <v>84797222.222222224</v>
      </c>
      <c r="BK64" s="12">
        <f t="shared" si="92"/>
        <v>105</v>
      </c>
      <c r="BL64" s="12">
        <f t="shared" si="48"/>
        <v>52.5</v>
      </c>
      <c r="BM64" s="12">
        <f t="shared" si="93"/>
        <v>17.5</v>
      </c>
      <c r="BN64" s="12">
        <f t="shared" si="94"/>
        <v>52.5</v>
      </c>
      <c r="BO64" s="12">
        <f t="shared" si="95"/>
        <v>87.5</v>
      </c>
      <c r="BP64" s="12">
        <f t="shared" si="96"/>
        <v>0</v>
      </c>
      <c r="BQ64" s="12">
        <f t="shared" si="97"/>
        <v>0</v>
      </c>
      <c r="BR64" s="92">
        <f t="shared" si="98"/>
        <v>1003275000</v>
      </c>
      <c r="BS64" s="95">
        <f t="shared" si="49"/>
        <v>1088072222.2222223</v>
      </c>
      <c r="BT64" s="98">
        <f t="shared" si="99"/>
        <v>12583978666666.668</v>
      </c>
      <c r="BU64" s="95">
        <f t="shared" si="100"/>
        <v>819000</v>
      </c>
      <c r="BV64" s="98">
        <f t="shared" si="101"/>
        <v>1045760000</v>
      </c>
      <c r="BW64" s="5"/>
      <c r="BX64" s="95">
        <f t="shared" si="102"/>
        <v>308966683872.1756</v>
      </c>
      <c r="BY64" s="98">
        <f t="shared" si="103"/>
        <v>232561505.49869606</v>
      </c>
      <c r="BZ64" s="90">
        <f t="shared" si="104"/>
        <v>0.8457589860964142</v>
      </c>
      <c r="CA64" s="87">
        <f t="shared" si="105"/>
        <v>38.389895496601355</v>
      </c>
      <c r="CB64" s="87">
        <f t="shared" si="106"/>
        <v>204.11010450339865</v>
      </c>
      <c r="CC64" s="43">
        <f t="shared" si="107"/>
        <v>22628.50000081136</v>
      </c>
      <c r="CD64" s="11">
        <f t="shared" si="108"/>
        <v>-8.1136022345162928E-7</v>
      </c>
      <c r="CE64" s="1"/>
      <c r="CF64" s="95">
        <f t="shared" si="109"/>
        <v>616983271749.20129</v>
      </c>
      <c r="CG64" s="98">
        <f t="shared" si="110"/>
        <v>464407866.72283417</v>
      </c>
      <c r="CH64" s="105">
        <f t="shared" si="111"/>
        <v>0.73304159148642711</v>
      </c>
      <c r="CI64" s="87">
        <f t="shared" si="112"/>
        <v>67.876841383327672</v>
      </c>
      <c r="CJ64" s="87">
        <f t="shared" si="113"/>
        <v>174.62315861667233</v>
      </c>
      <c r="CK64" s="98">
        <f t="shared" si="114"/>
        <v>28399880853897.859</v>
      </c>
      <c r="CL64" s="93"/>
    </row>
    <row r="65" spans="1:90" ht="34.9" customHeight="1">
      <c r="A65" s="20"/>
      <c r="B65" s="200"/>
      <c r="C65" s="201"/>
      <c r="D65" s="32" t="s">
        <v>16</v>
      </c>
      <c r="E65" s="32" t="s">
        <v>9</v>
      </c>
      <c r="F65" s="35">
        <v>2022</v>
      </c>
      <c r="G65" s="1"/>
      <c r="H65" s="37" t="s">
        <v>150</v>
      </c>
      <c r="I65" s="32" t="str">
        <f t="shared" si="41"/>
        <v>Discrete</v>
      </c>
      <c r="J65" s="32" t="s">
        <v>70</v>
      </c>
      <c r="K65" s="32" t="s">
        <v>72</v>
      </c>
      <c r="L65" s="38" t="s">
        <v>65</v>
      </c>
      <c r="M65" s="38" t="s">
        <v>264</v>
      </c>
      <c r="N65" s="38" t="s">
        <v>268</v>
      </c>
      <c r="O65" s="38" t="s">
        <v>270</v>
      </c>
      <c r="P65" s="2"/>
      <c r="Q65" s="50">
        <f>(56213/2)</f>
        <v>28106.5</v>
      </c>
      <c r="R65" s="54">
        <f t="shared" si="58"/>
        <v>30919.254828425197</v>
      </c>
      <c r="S65" s="57">
        <v>445.75084656013877</v>
      </c>
      <c r="T65" s="54">
        <f t="shared" si="79"/>
        <v>567.04257231115287</v>
      </c>
      <c r="U65" s="3" t="s">
        <v>75</v>
      </c>
      <c r="V65" s="28" t="s">
        <v>61</v>
      </c>
      <c r="W65" s="28">
        <f t="shared" si="132"/>
        <v>3</v>
      </c>
      <c r="X65" s="28" t="s">
        <v>14</v>
      </c>
      <c r="Y65" s="32">
        <f>Y64</f>
        <v>35</v>
      </c>
      <c r="Z65" s="32">
        <v>11700</v>
      </c>
      <c r="AA65" s="54">
        <f>Z65/16</f>
        <v>731.25</v>
      </c>
      <c r="AB65" s="32">
        <f>AB64</f>
        <v>35</v>
      </c>
      <c r="AC65" s="54">
        <f t="shared" si="139"/>
        <v>333.33333333333331</v>
      </c>
      <c r="AD65" s="32">
        <f>MAX(Y65,AB65)</f>
        <v>35</v>
      </c>
      <c r="AE65" s="32">
        <f t="shared" si="140"/>
        <v>8944</v>
      </c>
      <c r="AF65" s="1"/>
      <c r="AG65" s="28" t="s">
        <v>72</v>
      </c>
      <c r="AH65" s="32" t="str">
        <f t="shared" si="140"/>
        <v>DFL 24f-E</v>
      </c>
      <c r="AI65" s="32">
        <v>380</v>
      </c>
      <c r="AJ65" s="32">
        <v>215</v>
      </c>
      <c r="AK65" s="32">
        <v>12800</v>
      </c>
      <c r="AL65" s="1"/>
      <c r="AM65" s="64" t="s">
        <v>245</v>
      </c>
      <c r="AN65" s="28">
        <v>45</v>
      </c>
      <c r="AO65" s="32">
        <v>150</v>
      </c>
      <c r="AP65" s="54">
        <f>2*43000</f>
        <v>86000</v>
      </c>
      <c r="AQ65" s="1"/>
      <c r="AR65" s="50">
        <f t="shared" si="134"/>
        <v>304.5</v>
      </c>
      <c r="AS65" s="54">
        <f t="shared" si="135"/>
        <v>587</v>
      </c>
      <c r="AT65" s="54">
        <f t="shared" si="136"/>
        <v>1106.5</v>
      </c>
      <c r="AU65" s="1"/>
      <c r="AV65" s="78">
        <f t="shared" si="80"/>
        <v>3.4045169946332735E-2</v>
      </c>
      <c r="AW65" s="81">
        <f t="shared" si="81"/>
        <v>6.5630590339892672E-2</v>
      </c>
      <c r="AX65" s="84">
        <f t="shared" si="82"/>
        <v>23.141630435987377</v>
      </c>
      <c r="AY65" s="87">
        <f t="shared" si="83"/>
        <v>18.44123711340206</v>
      </c>
      <c r="AZ65" s="90">
        <f t="shared" si="84"/>
        <v>0.53</v>
      </c>
      <c r="BA65" s="32">
        <v>1.21</v>
      </c>
      <c r="BB65" s="32">
        <v>80</v>
      </c>
      <c r="BC65" s="54">
        <f t="shared" si="85"/>
        <v>35390.764806544452</v>
      </c>
      <c r="BD65" s="87">
        <f t="shared" si="86"/>
        <v>131.33381009401282</v>
      </c>
      <c r="BE65" s="87">
        <f t="shared" si="87"/>
        <v>220.70876221714005</v>
      </c>
      <c r="BF65" s="57">
        <f t="shared" si="88"/>
        <v>567.04257231115287</v>
      </c>
      <c r="BG65" s="4"/>
      <c r="BH65" s="8">
        <f t="shared" si="89"/>
        <v>2</v>
      </c>
      <c r="BI65" s="8">
        <f t="shared" si="90"/>
        <v>1</v>
      </c>
      <c r="BJ65" s="13">
        <f t="shared" si="91"/>
        <v>84797222.222222224</v>
      </c>
      <c r="BK65" s="12">
        <f t="shared" si="92"/>
        <v>105</v>
      </c>
      <c r="BL65" s="12">
        <f t="shared" si="48"/>
        <v>52.5</v>
      </c>
      <c r="BM65" s="12">
        <f t="shared" si="93"/>
        <v>17.5</v>
      </c>
      <c r="BN65" s="12">
        <f t="shared" si="94"/>
        <v>52.5</v>
      </c>
      <c r="BO65" s="12">
        <f t="shared" si="95"/>
        <v>87.5</v>
      </c>
      <c r="BP65" s="12">
        <f t="shared" si="96"/>
        <v>0</v>
      </c>
      <c r="BQ65" s="12">
        <f t="shared" si="97"/>
        <v>0</v>
      </c>
      <c r="BR65" s="92">
        <f t="shared" si="98"/>
        <v>1003275000</v>
      </c>
      <c r="BS65" s="95">
        <f t="shared" si="49"/>
        <v>1088072222.2222223</v>
      </c>
      <c r="BT65" s="98">
        <f t="shared" si="99"/>
        <v>12583978666666.668</v>
      </c>
      <c r="BU65" s="95">
        <f t="shared" si="100"/>
        <v>819000</v>
      </c>
      <c r="BV65" s="98">
        <f t="shared" si="101"/>
        <v>1045760000</v>
      </c>
      <c r="BW65" s="5"/>
      <c r="BX65" s="95">
        <f t="shared" si="102"/>
        <v>485009114174.12701</v>
      </c>
      <c r="BY65" s="98">
        <f t="shared" si="103"/>
        <v>365069943.33275366</v>
      </c>
      <c r="BZ65" s="90">
        <f t="shared" si="104"/>
        <v>0.92716158608703469</v>
      </c>
      <c r="CA65" s="87">
        <f t="shared" si="105"/>
        <v>59.296932056420353</v>
      </c>
      <c r="CB65" s="87">
        <f t="shared" si="106"/>
        <v>183.20306794357964</v>
      </c>
      <c r="CC65" s="43">
        <f t="shared" si="107"/>
        <v>28106.500000166416</v>
      </c>
      <c r="CD65" s="11">
        <f t="shared" si="108"/>
        <v>-1.6641570255160332E-7</v>
      </c>
      <c r="CE65" s="1"/>
      <c r="CF65" s="95">
        <f t="shared" si="109"/>
        <v>616983271749.20129</v>
      </c>
      <c r="CG65" s="98">
        <f t="shared" si="110"/>
        <v>464407866.72283417</v>
      </c>
      <c r="CH65" s="105">
        <f t="shared" si="111"/>
        <v>0.90914255373879782</v>
      </c>
      <c r="CI65" s="87">
        <f t="shared" si="112"/>
        <v>74.319204453278402</v>
      </c>
      <c r="CJ65" s="87">
        <f t="shared" si="113"/>
        <v>168.18079554672158</v>
      </c>
      <c r="CK65" s="98">
        <f t="shared" si="114"/>
        <v>30919254828425.195</v>
      </c>
      <c r="CL65" s="93"/>
    </row>
    <row r="66" spans="1:90" ht="34.9" customHeight="1">
      <c r="A66" s="20"/>
      <c r="B66" s="200"/>
      <c r="C66" s="201"/>
      <c r="D66" s="32" t="s">
        <v>16</v>
      </c>
      <c r="E66" s="32" t="s">
        <v>10</v>
      </c>
      <c r="F66" s="35">
        <v>2022</v>
      </c>
      <c r="G66" s="1"/>
      <c r="H66" s="37" t="s">
        <v>150</v>
      </c>
      <c r="I66" s="32" t="str">
        <f t="shared" si="41"/>
        <v>Discrete</v>
      </c>
      <c r="J66" s="32" t="s">
        <v>70</v>
      </c>
      <c r="K66" s="32" t="s">
        <v>72</v>
      </c>
      <c r="L66" s="38" t="s">
        <v>65</v>
      </c>
      <c r="M66" s="38" t="s">
        <v>264</v>
      </c>
      <c r="N66" s="38" t="s">
        <v>268</v>
      </c>
      <c r="O66" s="38" t="s">
        <v>270</v>
      </c>
      <c r="P66" s="2"/>
      <c r="Q66" s="50">
        <f>(57219/2)</f>
        <v>28609.5</v>
      </c>
      <c r="R66" s="54">
        <f t="shared" si="58"/>
        <v>30909.244371024452</v>
      </c>
      <c r="S66" s="57">
        <v>466.36987969281807</v>
      </c>
      <c r="T66" s="54">
        <f t="shared" si="79"/>
        <v>567.04257231115287</v>
      </c>
      <c r="U66" s="3" t="s">
        <v>75</v>
      </c>
      <c r="V66" s="28" t="s">
        <v>61</v>
      </c>
      <c r="W66" s="28">
        <f t="shared" si="132"/>
        <v>3</v>
      </c>
      <c r="X66" s="28" t="s">
        <v>14</v>
      </c>
      <c r="Y66" s="32">
        <f>Y65</f>
        <v>35</v>
      </c>
      <c r="Z66" s="32">
        <v>11700</v>
      </c>
      <c r="AA66" s="54">
        <f t="shared" si="138"/>
        <v>731.25</v>
      </c>
      <c r="AB66" s="32">
        <f>AB65</f>
        <v>35</v>
      </c>
      <c r="AC66" s="54">
        <f t="shared" si="139"/>
        <v>333.33333333333331</v>
      </c>
      <c r="AD66" s="32">
        <f t="shared" si="133"/>
        <v>35</v>
      </c>
      <c r="AE66" s="32">
        <f t="shared" si="140"/>
        <v>8944</v>
      </c>
      <c r="AF66" s="1"/>
      <c r="AG66" s="28" t="s">
        <v>72</v>
      </c>
      <c r="AH66" s="32" t="str">
        <f t="shared" si="140"/>
        <v>DFL 24f-E</v>
      </c>
      <c r="AI66" s="32">
        <v>380</v>
      </c>
      <c r="AJ66" s="32">
        <v>215</v>
      </c>
      <c r="AK66" s="32">
        <v>12800</v>
      </c>
      <c r="AL66" s="1"/>
      <c r="AM66" s="64" t="s">
        <v>245</v>
      </c>
      <c r="AN66" s="28">
        <v>45</v>
      </c>
      <c r="AO66" s="32">
        <v>150</v>
      </c>
      <c r="AP66" s="54">
        <f>2*43000</f>
        <v>86000</v>
      </c>
      <c r="AQ66" s="1"/>
      <c r="AR66" s="50">
        <f t="shared" si="134"/>
        <v>304.5</v>
      </c>
      <c r="AS66" s="54">
        <f t="shared" si="135"/>
        <v>587</v>
      </c>
      <c r="AT66" s="54">
        <f t="shared" si="136"/>
        <v>1106.5</v>
      </c>
      <c r="AU66" s="1"/>
      <c r="AV66" s="78">
        <f t="shared" si="80"/>
        <v>3.4045169946332735E-2</v>
      </c>
      <c r="AW66" s="81">
        <f t="shared" si="81"/>
        <v>6.5630590339892672E-2</v>
      </c>
      <c r="AX66" s="84">
        <f t="shared" si="82"/>
        <v>23.141630435987377</v>
      </c>
      <c r="AY66" s="87">
        <f t="shared" si="83"/>
        <v>18.44123711340206</v>
      </c>
      <c r="AZ66" s="90">
        <f t="shared" si="84"/>
        <v>0.53</v>
      </c>
      <c r="BA66" s="32">
        <v>1.21</v>
      </c>
      <c r="BB66" s="32">
        <v>80</v>
      </c>
      <c r="BC66" s="54">
        <f t="shared" si="85"/>
        <v>35390.764806544452</v>
      </c>
      <c r="BD66" s="87">
        <f t="shared" si="86"/>
        <v>131.33381009401282</v>
      </c>
      <c r="BE66" s="87">
        <f t="shared" si="87"/>
        <v>220.70876221714005</v>
      </c>
      <c r="BF66" s="57">
        <f t="shared" si="88"/>
        <v>567.04257231115287</v>
      </c>
      <c r="BG66" s="4"/>
      <c r="BH66" s="8">
        <f t="shared" si="89"/>
        <v>2</v>
      </c>
      <c r="BI66" s="8">
        <f t="shared" si="90"/>
        <v>1</v>
      </c>
      <c r="BJ66" s="13">
        <f t="shared" si="91"/>
        <v>84797222.222222224</v>
      </c>
      <c r="BK66" s="12">
        <f t="shared" si="92"/>
        <v>105</v>
      </c>
      <c r="BL66" s="12">
        <f t="shared" si="48"/>
        <v>52.5</v>
      </c>
      <c r="BM66" s="12">
        <f t="shared" si="93"/>
        <v>17.5</v>
      </c>
      <c r="BN66" s="12">
        <f t="shared" si="94"/>
        <v>52.5</v>
      </c>
      <c r="BO66" s="12">
        <f t="shared" si="95"/>
        <v>87.5</v>
      </c>
      <c r="BP66" s="12">
        <f t="shared" si="96"/>
        <v>0</v>
      </c>
      <c r="BQ66" s="12">
        <f t="shared" si="97"/>
        <v>0</v>
      </c>
      <c r="BR66" s="92">
        <f t="shared" si="98"/>
        <v>1003275000</v>
      </c>
      <c r="BS66" s="95">
        <f t="shared" si="49"/>
        <v>1088072222.2222223</v>
      </c>
      <c r="BT66" s="98">
        <f t="shared" si="99"/>
        <v>12583978666666.668</v>
      </c>
      <c r="BU66" s="95">
        <f t="shared" si="100"/>
        <v>819000</v>
      </c>
      <c r="BV66" s="98">
        <f t="shared" si="101"/>
        <v>1045760000</v>
      </c>
      <c r="BW66" s="5"/>
      <c r="BX66" s="95">
        <f t="shared" si="102"/>
        <v>507444111374.87506</v>
      </c>
      <c r="BY66" s="98">
        <f t="shared" si="103"/>
        <v>381956931.468418</v>
      </c>
      <c r="BZ66" s="90">
        <f t="shared" si="104"/>
        <v>0.92404821253771374</v>
      </c>
      <c r="CA66" s="87">
        <f t="shared" si="105"/>
        <v>61.191928377293117</v>
      </c>
      <c r="CB66" s="87">
        <f t="shared" si="106"/>
        <v>181.30807162270688</v>
      </c>
      <c r="CC66" s="43">
        <f t="shared" si="107"/>
        <v>28609.500000352265</v>
      </c>
      <c r="CD66" s="11">
        <f t="shared" si="108"/>
        <v>-3.5226548789069057E-7</v>
      </c>
      <c r="CE66" s="1"/>
      <c r="CF66" s="95">
        <f t="shared" si="109"/>
        <v>616983271749.20129</v>
      </c>
      <c r="CG66" s="98">
        <f t="shared" si="110"/>
        <v>464407866.72283417</v>
      </c>
      <c r="CH66" s="105">
        <f t="shared" si="111"/>
        <v>0.90914255373879782</v>
      </c>
      <c r="CI66" s="87">
        <f t="shared" si="112"/>
        <v>73.500117565900482</v>
      </c>
      <c r="CJ66" s="87">
        <f t="shared" si="113"/>
        <v>168.9998824340995</v>
      </c>
      <c r="CK66" s="98">
        <f t="shared" si="114"/>
        <v>30909244371024.453</v>
      </c>
      <c r="CL66" s="93"/>
    </row>
    <row r="67" spans="1:90" ht="34.9" customHeight="1">
      <c r="A67" s="20"/>
      <c r="B67" s="200"/>
      <c r="C67" s="201"/>
      <c r="D67" s="32" t="s">
        <v>16</v>
      </c>
      <c r="E67" s="32" t="s">
        <v>11</v>
      </c>
      <c r="F67" s="35">
        <v>2022</v>
      </c>
      <c r="G67" s="1"/>
      <c r="H67" s="37" t="s">
        <v>150</v>
      </c>
      <c r="I67" s="32" t="str">
        <f t="shared" si="41"/>
        <v>Glue</v>
      </c>
      <c r="J67" s="32" t="s">
        <v>70</v>
      </c>
      <c r="K67" s="32" t="s">
        <v>72</v>
      </c>
      <c r="L67" s="38" t="s">
        <v>65</v>
      </c>
      <c r="M67" s="38" t="s">
        <v>264</v>
      </c>
      <c r="N67" s="41" t="s">
        <v>67</v>
      </c>
      <c r="O67" s="41" t="s">
        <v>270</v>
      </c>
      <c r="P67" s="2"/>
      <c r="Q67" s="50">
        <f>(60598/2)</f>
        <v>30299</v>
      </c>
      <c r="R67" s="54">
        <f t="shared" si="58"/>
        <v>32126.572469776107</v>
      </c>
      <c r="S67" s="57">
        <v>494.85599757011988</v>
      </c>
      <c r="T67" s="54">
        <f t="shared" si="79"/>
        <v>567.04257231115287</v>
      </c>
      <c r="U67" s="3" t="s">
        <v>75</v>
      </c>
      <c r="V67" s="28" t="s">
        <v>61</v>
      </c>
      <c r="W67" s="28">
        <f t="shared" si="132"/>
        <v>3</v>
      </c>
      <c r="X67" s="28" t="s">
        <v>14</v>
      </c>
      <c r="Y67" s="32">
        <f>Y66</f>
        <v>35</v>
      </c>
      <c r="Z67" s="32">
        <v>11700</v>
      </c>
      <c r="AA67" s="54">
        <f t="shared" si="138"/>
        <v>731.25</v>
      </c>
      <c r="AB67" s="32">
        <f>AB66</f>
        <v>35</v>
      </c>
      <c r="AC67" s="54">
        <f t="shared" si="139"/>
        <v>333.33333333333331</v>
      </c>
      <c r="AD67" s="32">
        <f t="shared" si="133"/>
        <v>35</v>
      </c>
      <c r="AE67" s="32">
        <f t="shared" si="140"/>
        <v>8944</v>
      </c>
      <c r="AF67" s="1"/>
      <c r="AG67" s="28" t="s">
        <v>72</v>
      </c>
      <c r="AH67" s="32" t="str">
        <f t="shared" si="140"/>
        <v>DFL 24f-E</v>
      </c>
      <c r="AI67" s="32">
        <v>380</v>
      </c>
      <c r="AJ67" s="32">
        <v>215</v>
      </c>
      <c r="AK67" s="32">
        <v>12800</v>
      </c>
      <c r="AL67" s="1"/>
      <c r="AM67" s="64" t="s">
        <v>20</v>
      </c>
      <c r="AN67" s="28" t="s">
        <v>14</v>
      </c>
      <c r="AO67" s="32" t="s">
        <v>14</v>
      </c>
      <c r="AP67" s="54" t="s">
        <v>14</v>
      </c>
      <c r="AQ67" s="1"/>
      <c r="AR67" s="50">
        <f t="shared" si="134"/>
        <v>304.5</v>
      </c>
      <c r="AS67" s="54">
        <f t="shared" si="135"/>
        <v>587</v>
      </c>
      <c r="AT67" s="54">
        <f t="shared" si="136"/>
        <v>1106.5</v>
      </c>
      <c r="AU67" s="1"/>
      <c r="AV67" s="78">
        <f t="shared" si="80"/>
        <v>3.4045169946332735E-2</v>
      </c>
      <c r="AW67" s="81">
        <f t="shared" si="81"/>
        <v>6.5630590339892672E-2</v>
      </c>
      <c r="AX67" s="84">
        <f t="shared" si="82"/>
        <v>23.141630435987377</v>
      </c>
      <c r="AY67" s="87">
        <f t="shared" si="83"/>
        <v>18.44123711340206</v>
      </c>
      <c r="AZ67" s="90">
        <f t="shared" si="84"/>
        <v>0.53</v>
      </c>
      <c r="BA67" s="32">
        <v>1.21</v>
      </c>
      <c r="BB67" s="32">
        <v>80</v>
      </c>
      <c r="BC67" s="54">
        <f t="shared" si="85"/>
        <v>35390.764806544452</v>
      </c>
      <c r="BD67" s="87">
        <f t="shared" si="86"/>
        <v>131.33381009401282</v>
      </c>
      <c r="BE67" s="87">
        <f t="shared" si="87"/>
        <v>220.70876221714005</v>
      </c>
      <c r="BF67" s="57">
        <f t="shared" si="88"/>
        <v>567.04257231115287</v>
      </c>
      <c r="BG67" s="4"/>
      <c r="BH67" s="8">
        <f t="shared" si="89"/>
        <v>2</v>
      </c>
      <c r="BI67" s="8">
        <f t="shared" si="90"/>
        <v>1</v>
      </c>
      <c r="BJ67" s="13">
        <f t="shared" si="91"/>
        <v>84797222.222222224</v>
      </c>
      <c r="BK67" s="12">
        <f t="shared" si="92"/>
        <v>105</v>
      </c>
      <c r="BL67" s="12">
        <f t="shared" si="48"/>
        <v>52.5</v>
      </c>
      <c r="BM67" s="12">
        <f t="shared" si="93"/>
        <v>17.5</v>
      </c>
      <c r="BN67" s="12">
        <f t="shared" si="94"/>
        <v>52.5</v>
      </c>
      <c r="BO67" s="12">
        <f t="shared" si="95"/>
        <v>87.5</v>
      </c>
      <c r="BP67" s="12">
        <f t="shared" si="96"/>
        <v>0</v>
      </c>
      <c r="BQ67" s="12">
        <f t="shared" si="97"/>
        <v>0</v>
      </c>
      <c r="BR67" s="92">
        <f t="shared" si="98"/>
        <v>1003275000</v>
      </c>
      <c r="BS67" s="95">
        <f t="shared" si="49"/>
        <v>1088072222.2222223</v>
      </c>
      <c r="BT67" s="98">
        <f t="shared" si="99"/>
        <v>12583978666666.668</v>
      </c>
      <c r="BU67" s="95">
        <f t="shared" si="100"/>
        <v>819000</v>
      </c>
      <c r="BV67" s="98">
        <f t="shared" si="101"/>
        <v>1045760000</v>
      </c>
      <c r="BW67" s="5"/>
      <c r="BX67" s="95">
        <f t="shared" si="102"/>
        <v>538439064956.11499</v>
      </c>
      <c r="BY67" s="98">
        <f t="shared" si="103"/>
        <v>405287062.00992817</v>
      </c>
      <c r="BZ67" s="90">
        <f t="shared" si="104"/>
        <v>1</v>
      </c>
      <c r="CA67" s="87">
        <f t="shared" si="105"/>
        <v>67.731857298461023</v>
      </c>
      <c r="CB67" s="87">
        <f t="shared" si="106"/>
        <v>174.76814270153898</v>
      </c>
      <c r="CC67" s="43">
        <f t="shared" si="107"/>
        <v>30299.00000056914</v>
      </c>
      <c r="CD67" s="11">
        <f t="shared" si="108"/>
        <v>-5.6913995649665594E-7</v>
      </c>
      <c r="CE67" s="1"/>
      <c r="CF67" s="95">
        <f t="shared" si="109"/>
        <v>616983271749.20129</v>
      </c>
      <c r="CG67" s="98">
        <f t="shared" si="110"/>
        <v>464407866.72283417</v>
      </c>
      <c r="CH67" s="105">
        <f t="shared" si="111"/>
        <v>1</v>
      </c>
      <c r="CI67" s="87">
        <f t="shared" si="112"/>
        <v>77.612167536656187</v>
      </c>
      <c r="CJ67" s="87">
        <f t="shared" si="113"/>
        <v>164.88783246334381</v>
      </c>
      <c r="CK67" s="98">
        <f t="shared" si="114"/>
        <v>32126572469776.105</v>
      </c>
      <c r="CL67" s="93"/>
    </row>
    <row r="68" spans="1:90" ht="34.9" customHeight="1">
      <c r="A68" s="20"/>
      <c r="B68" s="200"/>
      <c r="C68" s="201"/>
      <c r="D68" s="36" t="s">
        <v>16</v>
      </c>
      <c r="E68" s="36" t="s">
        <v>15</v>
      </c>
      <c r="F68" s="121">
        <v>2022</v>
      </c>
      <c r="G68" s="1"/>
      <c r="H68" s="114" t="s">
        <v>150</v>
      </c>
      <c r="I68" s="36" t="str">
        <f t="shared" si="41"/>
        <v>Glue</v>
      </c>
      <c r="J68" s="36" t="s">
        <v>70</v>
      </c>
      <c r="K68" s="36" t="s">
        <v>72</v>
      </c>
      <c r="L68" s="39" t="s">
        <v>65</v>
      </c>
      <c r="M68" s="39" t="s">
        <v>264</v>
      </c>
      <c r="N68" s="42" t="s">
        <v>67</v>
      </c>
      <c r="O68" s="42" t="s">
        <v>270</v>
      </c>
      <c r="P68" s="2"/>
      <c r="Q68" s="51">
        <f>(67199/2)</f>
        <v>33599.5</v>
      </c>
      <c r="R68" s="55">
        <f t="shared" si="58"/>
        <v>32121.939441459297</v>
      </c>
      <c r="S68" s="58">
        <v>630.54507470171234</v>
      </c>
      <c r="T68" s="55">
        <f t="shared" si="79"/>
        <v>567.04257231115287</v>
      </c>
      <c r="U68" s="3" t="s">
        <v>75</v>
      </c>
      <c r="V68" s="29" t="s">
        <v>61</v>
      </c>
      <c r="W68" s="29">
        <f t="shared" si="132"/>
        <v>3</v>
      </c>
      <c r="X68" s="29" t="s">
        <v>14</v>
      </c>
      <c r="Y68" s="36">
        <f t="shared" ref="Y68" si="141">Y67</f>
        <v>35</v>
      </c>
      <c r="Z68" s="36">
        <v>11700</v>
      </c>
      <c r="AA68" s="55">
        <f t="shared" si="138"/>
        <v>731.25</v>
      </c>
      <c r="AB68" s="36">
        <f t="shared" ref="AB68" si="142">AB67</f>
        <v>35</v>
      </c>
      <c r="AC68" s="55">
        <f>10000/30</f>
        <v>333.33333333333331</v>
      </c>
      <c r="AD68" s="36">
        <f t="shared" si="133"/>
        <v>35</v>
      </c>
      <c r="AE68" s="36">
        <f t="shared" ref="AE68" si="143">AE67</f>
        <v>8944</v>
      </c>
      <c r="AF68" s="1"/>
      <c r="AG68" s="29" t="s">
        <v>72</v>
      </c>
      <c r="AH68" s="36" t="str">
        <f t="shared" ref="AH68" si="144">AH67</f>
        <v>DFL 24f-E</v>
      </c>
      <c r="AI68" s="36">
        <v>380</v>
      </c>
      <c r="AJ68" s="36">
        <v>215</v>
      </c>
      <c r="AK68" s="36">
        <v>12800</v>
      </c>
      <c r="AL68" s="1"/>
      <c r="AM68" s="66" t="s">
        <v>20</v>
      </c>
      <c r="AN68" s="29" t="s">
        <v>14</v>
      </c>
      <c r="AO68" s="36" t="s">
        <v>14</v>
      </c>
      <c r="AP68" s="55" t="s">
        <v>14</v>
      </c>
      <c r="AQ68" s="1"/>
      <c r="AR68" s="51">
        <f t="shared" si="134"/>
        <v>304.5</v>
      </c>
      <c r="AS68" s="55">
        <f t="shared" si="135"/>
        <v>587</v>
      </c>
      <c r="AT68" s="55">
        <f t="shared" si="136"/>
        <v>1106.5</v>
      </c>
      <c r="AU68" s="1"/>
      <c r="AV68" s="79">
        <f t="shared" si="80"/>
        <v>3.4045169946332735E-2</v>
      </c>
      <c r="AW68" s="82">
        <f t="shared" si="81"/>
        <v>6.5630590339892672E-2</v>
      </c>
      <c r="AX68" s="85">
        <f t="shared" si="82"/>
        <v>23.141630435987377</v>
      </c>
      <c r="AY68" s="88">
        <f t="shared" si="83"/>
        <v>18.44123711340206</v>
      </c>
      <c r="AZ68" s="91">
        <f t="shared" si="84"/>
        <v>0.53</v>
      </c>
      <c r="BA68" s="36">
        <v>1.21</v>
      </c>
      <c r="BB68" s="36">
        <v>80</v>
      </c>
      <c r="BC68" s="55">
        <f t="shared" si="85"/>
        <v>35390.764806544452</v>
      </c>
      <c r="BD68" s="88">
        <f t="shared" si="86"/>
        <v>131.33381009401282</v>
      </c>
      <c r="BE68" s="88">
        <f t="shared" si="87"/>
        <v>220.70876221714005</v>
      </c>
      <c r="BF68" s="58">
        <f t="shared" si="88"/>
        <v>567.04257231115287</v>
      </c>
      <c r="BG68" s="4"/>
      <c r="BH68" s="115">
        <f t="shared" si="89"/>
        <v>2</v>
      </c>
      <c r="BI68" s="115">
        <f t="shared" si="90"/>
        <v>1</v>
      </c>
      <c r="BJ68" s="116">
        <f t="shared" si="91"/>
        <v>84797222.222222224</v>
      </c>
      <c r="BK68" s="117">
        <f t="shared" si="92"/>
        <v>105</v>
      </c>
      <c r="BL68" s="117">
        <f t="shared" si="48"/>
        <v>52.5</v>
      </c>
      <c r="BM68" s="117">
        <f t="shared" si="93"/>
        <v>17.5</v>
      </c>
      <c r="BN68" s="117">
        <f t="shared" si="94"/>
        <v>52.5</v>
      </c>
      <c r="BO68" s="117">
        <f t="shared" si="95"/>
        <v>87.5</v>
      </c>
      <c r="BP68" s="117">
        <f t="shared" si="96"/>
        <v>0</v>
      </c>
      <c r="BQ68" s="117">
        <f t="shared" si="97"/>
        <v>0</v>
      </c>
      <c r="BR68" s="118">
        <f t="shared" si="98"/>
        <v>1003275000</v>
      </c>
      <c r="BS68" s="96">
        <f t="shared" si="49"/>
        <v>1088072222.2222223</v>
      </c>
      <c r="BT68" s="99">
        <f t="shared" si="99"/>
        <v>12583978666666.668</v>
      </c>
      <c r="BU68" s="96">
        <f t="shared" si="100"/>
        <v>819000</v>
      </c>
      <c r="BV68" s="99">
        <f t="shared" si="101"/>
        <v>1045760000</v>
      </c>
      <c r="BW68" s="5"/>
      <c r="BX68" s="96">
        <f t="shared" si="102"/>
        <v>686078580641.96936</v>
      </c>
      <c r="BY68" s="99">
        <f t="shared" si="103"/>
        <v>516416416.18070239</v>
      </c>
      <c r="BZ68" s="91">
        <f t="shared" si="104"/>
        <v>1</v>
      </c>
      <c r="CA68" s="88">
        <f t="shared" si="105"/>
        <v>80.164429335063275</v>
      </c>
      <c r="CB68" s="88">
        <f t="shared" si="106"/>
        <v>162.33557066493671</v>
      </c>
      <c r="CC68" s="119">
        <f t="shared" si="107"/>
        <v>33599.500000506807</v>
      </c>
      <c r="CD68" s="120">
        <f t="shared" si="108"/>
        <v>-5.0680682761594653E-7</v>
      </c>
      <c r="CE68" s="1"/>
      <c r="CF68" s="96">
        <f t="shared" si="109"/>
        <v>616983271749.20129</v>
      </c>
      <c r="CG68" s="99">
        <f t="shared" si="110"/>
        <v>464407866.72283417</v>
      </c>
      <c r="CH68" s="106">
        <f t="shared" si="111"/>
        <v>1</v>
      </c>
      <c r="CI68" s="88">
        <f t="shared" si="112"/>
        <v>72.091030509617084</v>
      </c>
      <c r="CJ68" s="88">
        <f t="shared" si="113"/>
        <v>170.4089694903829</v>
      </c>
      <c r="CK68" s="99">
        <f t="shared" si="114"/>
        <v>32121939441459.297</v>
      </c>
      <c r="CL68" s="93"/>
    </row>
    <row r="69" spans="1:90" ht="34.9" customHeight="1">
      <c r="A69" s="20"/>
      <c r="B69" s="200" t="s">
        <v>290</v>
      </c>
      <c r="C69" s="206" t="s">
        <v>308</v>
      </c>
      <c r="D69" s="31" t="s">
        <v>58</v>
      </c>
      <c r="E69" s="31" t="s">
        <v>110</v>
      </c>
      <c r="F69" s="108">
        <v>2023</v>
      </c>
      <c r="G69" s="1"/>
      <c r="H69" s="109" t="s">
        <v>192</v>
      </c>
      <c r="I69" s="31" t="str">
        <f t="shared" si="41"/>
        <v>Discrete</v>
      </c>
      <c r="J69" s="31" t="s">
        <v>70</v>
      </c>
      <c r="K69" s="31" t="s">
        <v>72</v>
      </c>
      <c r="L69" s="110" t="s">
        <v>124</v>
      </c>
      <c r="M69" s="110" t="s">
        <v>265</v>
      </c>
      <c r="N69" s="110" t="s">
        <v>267</v>
      </c>
      <c r="O69" s="110" t="s">
        <v>270</v>
      </c>
      <c r="P69" s="2"/>
      <c r="Q69" s="49">
        <f>((8.41*(967/3000)*1000/AE69)*5*(AE69^4)/384)/1000^3</f>
        <v>2259.0194444444446</v>
      </c>
      <c r="R69" s="53">
        <f t="shared" si="58"/>
        <v>1696.6416989989809</v>
      </c>
      <c r="S69" s="56">
        <v>1361.7206970367361</v>
      </c>
      <c r="T69" s="53">
        <f t="shared" ref="T69:T79" si="145">BF69</f>
        <v>390.38265217041402</v>
      </c>
      <c r="U69" s="3" t="s">
        <v>75</v>
      </c>
      <c r="V69" s="27" t="s">
        <v>108</v>
      </c>
      <c r="W69" s="27">
        <v>3</v>
      </c>
      <c r="X69" s="27" t="s">
        <v>14</v>
      </c>
      <c r="Y69" s="31">
        <v>20</v>
      </c>
      <c r="Z69" s="31">
        <v>13200</v>
      </c>
      <c r="AA69" s="53">
        <f t="shared" si="138"/>
        <v>825</v>
      </c>
      <c r="AB69" s="31">
        <v>40</v>
      </c>
      <c r="AC69" s="53">
        <f>Z69/30</f>
        <v>440</v>
      </c>
      <c r="AD69" s="31">
        <f t="shared" si="133"/>
        <v>40</v>
      </c>
      <c r="AE69" s="31">
        <v>4000</v>
      </c>
      <c r="AF69" s="1"/>
      <c r="AG69" s="27" t="s">
        <v>72</v>
      </c>
      <c r="AH69" s="31" t="s">
        <v>107</v>
      </c>
      <c r="AI69" s="31">
        <v>200</v>
      </c>
      <c r="AJ69" s="31">
        <v>100</v>
      </c>
      <c r="AK69" s="148">
        <v>12500</v>
      </c>
      <c r="AL69" s="1"/>
      <c r="AM69" s="63" t="s">
        <v>254</v>
      </c>
      <c r="AN69" s="27">
        <v>90</v>
      </c>
      <c r="AO69" s="31">
        <v>150</v>
      </c>
      <c r="AP69" s="53">
        <f>2*60*(0.7*12)^1.7</f>
        <v>4471.5288007540194</v>
      </c>
      <c r="AQ69" s="1"/>
      <c r="AR69" s="49">
        <f>967-AJ69</f>
        <v>867</v>
      </c>
      <c r="AS69" s="53">
        <f>AR69</f>
        <v>867</v>
      </c>
      <c r="AT69" s="53">
        <f>AJ69+AR69+AS69</f>
        <v>1834</v>
      </c>
      <c r="AU69" s="1"/>
      <c r="AV69" s="77">
        <f t="shared" ref="AV69:AV79" si="146">AR69/AE69</f>
        <v>0.21675</v>
      </c>
      <c r="AW69" s="80">
        <f t="shared" ref="AW69:AW79" si="147">AS69/AE69</f>
        <v>0.21675</v>
      </c>
      <c r="AX69" s="83">
        <f t="shared" ref="AX69:AX79" si="148">BU69/BC69</f>
        <v>18.996913582236047</v>
      </c>
      <c r="AY69" s="86">
        <f t="shared" ref="AY69:AY83" si="149">AE69/(AI69+BK69)</f>
        <v>14.285714285714286</v>
      </c>
      <c r="AZ69" s="89">
        <f t="shared" ref="AZ69:AZ83" si="150">IF(W69&gt;3,0.43,0.53)</f>
        <v>0.53</v>
      </c>
      <c r="BA69" s="31">
        <v>1.21</v>
      </c>
      <c r="BB69" s="31">
        <v>80</v>
      </c>
      <c r="BC69" s="53">
        <f t="shared" ref="BC69:BC83" si="151">AA69*BK69 / ( 1 + 6*AZ69*(AD69/BB69)^BA69 )</f>
        <v>27793.988624222155</v>
      </c>
      <c r="BD69" s="86">
        <f t="shared" ref="BD69:BD83" si="152">AR69*(0.5 - (0.35*(AR69/AE69)^0.9 * (BU69/BC69)^0.45) )</f>
        <v>145.19132608520701</v>
      </c>
      <c r="BE69" s="86">
        <f t="shared" ref="BE69:BE83" si="153">AS69*(0.5 - (0.35*(AS69/AE69)^0.9 * (BU69/BC69)^0.45) )</f>
        <v>145.19132608520701</v>
      </c>
      <c r="BF69" s="56">
        <f t="shared" ref="BF69:BF83" si="154">BD69+BE69+AJ69</f>
        <v>390.38265217041402</v>
      </c>
      <c r="BG69" s="4"/>
      <c r="BH69" s="23">
        <f t="shared" ref="BH69:BH83" si="155">W69/2+0.5</f>
        <v>2</v>
      </c>
      <c r="BI69" s="23">
        <f t="shared" ref="BI69:BI83" si="156">W69-BH69</f>
        <v>1</v>
      </c>
      <c r="BJ69" s="30">
        <f t="shared" ref="BJ69:BJ83" si="157">IF(X69="-", BH69*(Z69*Y69^3/12)+ BI69*(AC69*AB69^3/12),
     2*(Z69*X69^3/12) + (BH69-2)*(Z69*Y69^3/12) + BI69*(AC69*AB69^3/12))</f>
        <v>19946666.666666668</v>
      </c>
      <c r="BK69" s="75">
        <f t="shared" ref="BK69:BK83" si="158">IF(X69="-",BH69*Y69+BI69*AB69, 2*X69 + (BH69-1)*Y69 + (BI69-1)*AB69)</f>
        <v>80</v>
      </c>
      <c r="BL69" s="75">
        <f t="shared" si="48"/>
        <v>40</v>
      </c>
      <c r="BM69" s="75">
        <f t="shared" ref="BM69:BM83" si="159">IF(X69="-",Y69,X69) - IF(X69="-",Y69,X69)/2</f>
        <v>10</v>
      </c>
      <c r="BN69" s="75">
        <f t="shared" ref="BN69:BN83" si="160">IF(X69="-",Y69,X69) + AB69/2</f>
        <v>40</v>
      </c>
      <c r="BO69" s="75">
        <f t="shared" ref="BO69:BO83" si="161">IF(X69="-",Y69,X69)+AB69+IF(W69&gt;3,Y69/2,IF(X69="-",Y69,X69)/2)</f>
        <v>70</v>
      </c>
      <c r="BP69" s="75">
        <f t="shared" ref="BP69:BP83" si="162">(IF(W69&gt;3, IF(X69="-",Y69,X69) + AB69 + Y69 + AB69/2,))</f>
        <v>0</v>
      </c>
      <c r="BQ69" s="75">
        <f t="shared" ref="BQ69:BQ83" si="163">(IF(W69&gt;3, IF(X69="-",Y69,X69) + AB69 + Y69 + AB69 + IF(X69="-",Y69,X69)/2,))</f>
        <v>0</v>
      </c>
      <c r="BR69" s="113">
        <f t="shared" ref="BR69:BR83" si="164">Z69*IF(X69="-",Y69,X69)*(BL69-BM69)^2 + AC69*AB69*(BL69-BN69)^2 + Z69*Y69*(BL69-BO69)^2 + IF(W69&gt;3,(AC69*AB69*(BL69-BP69)^2 + Z69*IF(X69="-",Y69,X69)*(BL69-BQ69)^2),0)</f>
        <v>475200000</v>
      </c>
      <c r="BS69" s="94">
        <f t="shared" si="49"/>
        <v>495146666.66666669</v>
      </c>
      <c r="BT69" s="97">
        <f t="shared" ref="BT69:BT83" si="165">AK69*(AJ69*AI69^3/12)</f>
        <v>833333333333.33325</v>
      </c>
      <c r="BU69" s="94">
        <f t="shared" ref="BU69:BU83" si="166">IF(X69="-",Y69*Z69*BH69, 2*Z69*X69 + Y69*Z69*(BH69-2))</f>
        <v>528000</v>
      </c>
      <c r="BV69" s="97">
        <f t="shared" ref="BV69:BV83" si="167">AK69*(AI69*AJ69)</f>
        <v>250000000</v>
      </c>
      <c r="BW69" s="5"/>
      <c r="BX69" s="94">
        <f t="shared" ref="BX69:BX83" si="168">S69*BS69</f>
        <v>674251464068.74976</v>
      </c>
      <c r="BY69" s="97">
        <f t="shared" ref="BY69:BY83" si="169">S69*BU69</f>
        <v>718988528.0353967</v>
      </c>
      <c r="BZ69" s="89">
        <f t="shared" ref="BZ69:BZ83" si="170">IF(AP69="-",1, ( 1+(PI()^2*BY69*AO69/ (AP69*AE69^2)) )^-1)</f>
        <v>6.2981257476282762E-2</v>
      </c>
      <c r="CA69" s="86">
        <f t="shared" ref="CA69:CA83" si="171">BZ69*BY69*(AI69+BK69) / (2*(BZ69*BY69 + BV69))</f>
        <v>21.469561350819532</v>
      </c>
      <c r="CB69" s="86">
        <f t="shared" ref="CB69:CB83" si="172">(BK69+AI69)/2 -  CA69</f>
        <v>118.53043864918047</v>
      </c>
      <c r="CC69" s="46">
        <f t="shared" ref="CC69:CC79" si="173">(BT69 + BV69*CA69^2 + BX69 + BZ69*BY69*CB69^2)/1000^3</f>
        <v>2259.0194446807668</v>
      </c>
      <c r="CD69" s="76">
        <f t="shared" ref="CD69:CD83" si="174">Q69-CC69</f>
        <v>-2.363221938139759E-7</v>
      </c>
      <c r="CE69" s="1"/>
      <c r="CF69" s="94">
        <f t="shared" ref="CF69:CF79" si="175">BF69*BS69</f>
        <v>193296668946.67328</v>
      </c>
      <c r="CG69" s="97">
        <f t="shared" ref="CG69:CG79" si="176">BF69*BU69</f>
        <v>206122040.34597859</v>
      </c>
      <c r="CH69" s="104">
        <f t="shared" ref="CH69:CH83" si="177">IF(AP69="-",1, ( 1+(PI()^2*CG69*AO69/ (AP69*AE69^2)) )^-1)</f>
        <v>0.1899263009142535</v>
      </c>
      <c r="CI69" s="86">
        <f t="shared" ref="CI69:CI83" si="178">CH69*CG69*(AI69+BK69) / (2*(CH69*BY69 + BV69))</f>
        <v>14.178375447247525</v>
      </c>
      <c r="CJ69" s="86">
        <f t="shared" ref="CJ69:CJ83" si="179">(BK69+AI69)/2 -  CI69</f>
        <v>125.82162455275247</v>
      </c>
      <c r="CK69" s="97">
        <f t="shared" ref="CK69:CK79" si="180">BT69 + BV69*CI69^2 + CF69 + CH69*CG69*CJ69^2</f>
        <v>1696641698998.981</v>
      </c>
      <c r="CL69" s="21"/>
    </row>
    <row r="70" spans="1:90" ht="34.9" customHeight="1">
      <c r="A70" s="20"/>
      <c r="B70" s="200"/>
      <c r="C70" s="208"/>
      <c r="D70" s="36" t="s">
        <v>58</v>
      </c>
      <c r="E70" s="36" t="s">
        <v>109</v>
      </c>
      <c r="F70" s="121">
        <v>2023</v>
      </c>
      <c r="G70" s="1"/>
      <c r="H70" s="114" t="s">
        <v>192</v>
      </c>
      <c r="I70" s="36" t="str">
        <f t="shared" ref="I70:I73" si="181">IF(AP70="-","Glue","Discrete")</f>
        <v>Discrete</v>
      </c>
      <c r="J70" s="36" t="s">
        <v>70</v>
      </c>
      <c r="K70" s="36" t="s">
        <v>72</v>
      </c>
      <c r="L70" s="39" t="s">
        <v>124</v>
      </c>
      <c r="M70" s="39" t="s">
        <v>265</v>
      </c>
      <c r="N70" s="39" t="s">
        <v>267</v>
      </c>
      <c r="O70" s="39" t="s">
        <v>270</v>
      </c>
      <c r="P70" s="2"/>
      <c r="Q70" s="51">
        <f>((9.285*((50+967/2)/3000)*1000/AE70)*5*(AE70^4)/384)/1000^3</f>
        <v>1375.9854166666667</v>
      </c>
      <c r="R70" s="55">
        <f t="shared" si="58"/>
        <v>1559.749329727932</v>
      </c>
      <c r="S70" s="58">
        <v>119.51270095799684</v>
      </c>
      <c r="T70" s="55">
        <f t="shared" si="145"/>
        <v>245.19132608520701</v>
      </c>
      <c r="U70" s="3" t="s">
        <v>75</v>
      </c>
      <c r="V70" s="29" t="s">
        <v>108</v>
      </c>
      <c r="W70" s="29">
        <v>3</v>
      </c>
      <c r="X70" s="29" t="s">
        <v>14</v>
      </c>
      <c r="Y70" s="36">
        <v>20</v>
      </c>
      <c r="Z70" s="36">
        <v>13200</v>
      </c>
      <c r="AA70" s="55">
        <f t="shared" si="138"/>
        <v>825</v>
      </c>
      <c r="AB70" s="36">
        <v>40</v>
      </c>
      <c r="AC70" s="55">
        <f>Z70/30</f>
        <v>440</v>
      </c>
      <c r="AD70" s="36">
        <f t="shared" si="133"/>
        <v>40</v>
      </c>
      <c r="AE70" s="36">
        <v>4000</v>
      </c>
      <c r="AF70" s="1"/>
      <c r="AG70" s="29" t="s">
        <v>72</v>
      </c>
      <c r="AH70" s="36" t="s">
        <v>107</v>
      </c>
      <c r="AI70" s="36">
        <v>200</v>
      </c>
      <c r="AJ70" s="36">
        <v>100</v>
      </c>
      <c r="AK70" s="149">
        <v>12500</v>
      </c>
      <c r="AL70" s="1"/>
      <c r="AM70" s="66" t="s">
        <v>254</v>
      </c>
      <c r="AN70" s="29">
        <v>90</v>
      </c>
      <c r="AO70" s="36">
        <v>150</v>
      </c>
      <c r="AP70" s="55">
        <f>2*60*(0.7*12)^1.7</f>
        <v>4471.5288007540194</v>
      </c>
      <c r="AQ70" s="1"/>
      <c r="AR70" s="51">
        <v>0</v>
      </c>
      <c r="AS70" s="55">
        <f>AS69</f>
        <v>867</v>
      </c>
      <c r="AT70" s="55">
        <f>AS70+AJ70</f>
        <v>967</v>
      </c>
      <c r="AU70" s="1"/>
      <c r="AV70" s="79">
        <f t="shared" si="146"/>
        <v>0</v>
      </c>
      <c r="AW70" s="82">
        <f t="shared" si="147"/>
        <v>0.21675</v>
      </c>
      <c r="AX70" s="85">
        <f t="shared" si="148"/>
        <v>18.996913582236047</v>
      </c>
      <c r="AY70" s="88">
        <f t="shared" si="149"/>
        <v>14.285714285714286</v>
      </c>
      <c r="AZ70" s="91">
        <f t="shared" si="150"/>
        <v>0.53</v>
      </c>
      <c r="BA70" s="36">
        <v>1.21</v>
      </c>
      <c r="BB70" s="36">
        <v>80</v>
      </c>
      <c r="BC70" s="55">
        <f t="shared" si="151"/>
        <v>27793.988624222155</v>
      </c>
      <c r="BD70" s="88">
        <f t="shared" si="152"/>
        <v>0</v>
      </c>
      <c r="BE70" s="88">
        <f t="shared" si="153"/>
        <v>145.19132608520701</v>
      </c>
      <c r="BF70" s="58">
        <f t="shared" si="154"/>
        <v>245.19132608520701</v>
      </c>
      <c r="BG70" s="4"/>
      <c r="BH70" s="115">
        <f t="shared" si="155"/>
        <v>2</v>
      </c>
      <c r="BI70" s="115">
        <f t="shared" si="156"/>
        <v>1</v>
      </c>
      <c r="BJ70" s="116">
        <f t="shared" si="157"/>
        <v>19946666.666666668</v>
      </c>
      <c r="BK70" s="117">
        <f t="shared" si="158"/>
        <v>80</v>
      </c>
      <c r="BL70" s="117">
        <f t="shared" ref="BL70:BL79" si="182">BK70/2</f>
        <v>40</v>
      </c>
      <c r="BM70" s="117">
        <f t="shared" si="159"/>
        <v>10</v>
      </c>
      <c r="BN70" s="117">
        <f t="shared" si="160"/>
        <v>40</v>
      </c>
      <c r="BO70" s="117">
        <f t="shared" si="161"/>
        <v>70</v>
      </c>
      <c r="BP70" s="117">
        <f t="shared" si="162"/>
        <v>0</v>
      </c>
      <c r="BQ70" s="117">
        <f t="shared" si="163"/>
        <v>0</v>
      </c>
      <c r="BR70" s="118">
        <f t="shared" si="164"/>
        <v>475200000</v>
      </c>
      <c r="BS70" s="96">
        <f t="shared" ref="BS70:BS79" si="183">(BJ70+BR70)</f>
        <v>495146666.66666669</v>
      </c>
      <c r="BT70" s="99">
        <f t="shared" si="165"/>
        <v>833333333333.33325</v>
      </c>
      <c r="BU70" s="96">
        <f t="shared" si="166"/>
        <v>528000</v>
      </c>
      <c r="BV70" s="99">
        <f t="shared" si="167"/>
        <v>250000000</v>
      </c>
      <c r="BW70" s="5"/>
      <c r="BX70" s="96">
        <f t="shared" si="168"/>
        <v>59176315503.682281</v>
      </c>
      <c r="BY70" s="99">
        <f t="shared" si="169"/>
        <v>63102706.105822332</v>
      </c>
      <c r="BZ70" s="91">
        <f t="shared" si="170"/>
        <v>0.43369670075939815</v>
      </c>
      <c r="CA70" s="88">
        <f t="shared" si="171"/>
        <v>13.813593352860831</v>
      </c>
      <c r="CB70" s="88">
        <f t="shared" si="172"/>
        <v>126.18640664713917</v>
      </c>
      <c r="CC70" s="119">
        <f t="shared" si="173"/>
        <v>1375.9854161871444</v>
      </c>
      <c r="CD70" s="120">
        <f t="shared" si="174"/>
        <v>4.7952221393643413E-7</v>
      </c>
      <c r="CE70" s="1"/>
      <c r="CF70" s="96">
        <f t="shared" si="175"/>
        <v>121405667806.66997</v>
      </c>
      <c r="CG70" s="99">
        <f t="shared" si="176"/>
        <v>129461020.17298929</v>
      </c>
      <c r="CH70" s="106">
        <f t="shared" si="177"/>
        <v>0.27182151493345341</v>
      </c>
      <c r="CI70" s="88">
        <f t="shared" si="178"/>
        <v>18.441292873827003</v>
      </c>
      <c r="CJ70" s="88">
        <f t="shared" si="179"/>
        <v>121.558707126173</v>
      </c>
      <c r="CK70" s="99">
        <f t="shared" si="180"/>
        <v>1559749329727.9321</v>
      </c>
      <c r="CL70" s="21"/>
    </row>
    <row r="71" spans="1:90" ht="34.9" customHeight="1">
      <c r="A71" s="20"/>
      <c r="B71" s="200" t="s">
        <v>291</v>
      </c>
      <c r="C71" s="206" t="s">
        <v>309</v>
      </c>
      <c r="D71" s="31" t="s">
        <v>17</v>
      </c>
      <c r="E71" s="31" t="s">
        <v>19</v>
      </c>
      <c r="F71" s="108">
        <v>2025</v>
      </c>
      <c r="G71" s="1"/>
      <c r="H71" s="109" t="s">
        <v>150</v>
      </c>
      <c r="I71" s="31" t="str">
        <f t="shared" si="181"/>
        <v>Discrete</v>
      </c>
      <c r="J71" s="31" t="s">
        <v>70</v>
      </c>
      <c r="K71" s="31" t="s">
        <v>72</v>
      </c>
      <c r="L71" s="110" t="s">
        <v>65</v>
      </c>
      <c r="M71" s="110" t="s">
        <v>264</v>
      </c>
      <c r="N71" s="110" t="s">
        <v>268</v>
      </c>
      <c r="O71" s="110" t="s">
        <v>270</v>
      </c>
      <c r="P71" s="2"/>
      <c r="Q71" s="49">
        <f>(15462.48/2)</f>
        <v>7731.24</v>
      </c>
      <c r="R71" s="53">
        <f t="shared" si="58"/>
        <v>6014.0788159035747</v>
      </c>
      <c r="S71" s="56">
        <v>789.04439066018699</v>
      </c>
      <c r="T71" s="53">
        <f t="shared" si="145"/>
        <v>327.30274836209412</v>
      </c>
      <c r="U71" s="3" t="s">
        <v>75</v>
      </c>
      <c r="V71" s="27" t="s">
        <v>133</v>
      </c>
      <c r="W71" s="27">
        <f t="shared" ref="W71:W83" si="184">IF(J71="3-Ply", 3,5)</f>
        <v>3</v>
      </c>
      <c r="X71" s="27" t="s">
        <v>14</v>
      </c>
      <c r="Y71" s="31">
        <v>35</v>
      </c>
      <c r="Z71" s="31">
        <v>11000</v>
      </c>
      <c r="AA71" s="53">
        <v>690</v>
      </c>
      <c r="AB71" s="31">
        <v>35</v>
      </c>
      <c r="AC71" s="53">
        <f>11000/30</f>
        <v>366.66666666666669</v>
      </c>
      <c r="AD71" s="31">
        <f t="shared" si="133"/>
        <v>35</v>
      </c>
      <c r="AE71" s="31">
        <v>5800</v>
      </c>
      <c r="AF71" s="1"/>
      <c r="AG71" s="27" t="s">
        <v>72</v>
      </c>
      <c r="AH71" s="31" t="s">
        <v>133</v>
      </c>
      <c r="AI71" s="31">
        <v>245</v>
      </c>
      <c r="AJ71" s="31">
        <v>130</v>
      </c>
      <c r="AK71" s="31">
        <v>11000</v>
      </c>
      <c r="AL71" s="1"/>
      <c r="AM71" s="63" t="s">
        <v>255</v>
      </c>
      <c r="AN71" s="27">
        <v>45</v>
      </c>
      <c r="AO71" s="53">
        <f>AE71/40</f>
        <v>145</v>
      </c>
      <c r="AP71" s="53">
        <f>(60*(0.7*8)^1.7)*(SQRT(2)/2)*(SIN(RADIANS(45))-0.25*COS(RADIANS(45))) + 0.5*(160*(494/420)^0.85*8^0.9*(200*SQRT(2)/2))*COS(RADIANS(45))*(COS(RADIANS(45)) - 0.25*SIN((45)))</f>
        <v>29921.95680284519</v>
      </c>
      <c r="AQ71" s="1"/>
      <c r="AR71" s="49">
        <f>300-(AJ71/2)</f>
        <v>235</v>
      </c>
      <c r="AS71" s="53">
        <f>300-AJ71/2</f>
        <v>235</v>
      </c>
      <c r="AT71" s="53">
        <f t="shared" ref="AT71:AT79" si="185">AR71+AJ71+AS71</f>
        <v>600</v>
      </c>
      <c r="AU71" s="1"/>
      <c r="AV71" s="77">
        <f t="shared" si="146"/>
        <v>4.0517241379310343E-2</v>
      </c>
      <c r="AW71" s="80">
        <f t="shared" si="147"/>
        <v>4.0517241379310343E-2</v>
      </c>
      <c r="AX71" s="83">
        <f t="shared" si="148"/>
        <v>23.057783948900465</v>
      </c>
      <c r="AY71" s="86">
        <f t="shared" si="149"/>
        <v>16.571428571428573</v>
      </c>
      <c r="AZ71" s="89">
        <f t="shared" si="150"/>
        <v>0.53</v>
      </c>
      <c r="BA71" s="31">
        <v>1.21</v>
      </c>
      <c r="BB71" s="31">
        <v>80</v>
      </c>
      <c r="BC71" s="53">
        <f t="shared" si="151"/>
        <v>33394.362689252201</v>
      </c>
      <c r="BD71" s="86">
        <f t="shared" si="152"/>
        <v>98.651374181047061</v>
      </c>
      <c r="BE71" s="86">
        <f t="shared" si="153"/>
        <v>98.651374181047061</v>
      </c>
      <c r="BF71" s="56">
        <f t="shared" si="154"/>
        <v>327.30274836209412</v>
      </c>
      <c r="BG71" s="4"/>
      <c r="BH71" s="23">
        <f t="shared" si="155"/>
        <v>2</v>
      </c>
      <c r="BI71" s="23">
        <f t="shared" si="156"/>
        <v>1</v>
      </c>
      <c r="BJ71" s="30">
        <f t="shared" si="157"/>
        <v>79914236.111111119</v>
      </c>
      <c r="BK71" s="75">
        <f t="shared" si="158"/>
        <v>105</v>
      </c>
      <c r="BL71" s="75">
        <f t="shared" si="182"/>
        <v>52.5</v>
      </c>
      <c r="BM71" s="75">
        <f t="shared" si="159"/>
        <v>17.5</v>
      </c>
      <c r="BN71" s="75">
        <f t="shared" si="160"/>
        <v>52.5</v>
      </c>
      <c r="BO71" s="75">
        <f t="shared" si="161"/>
        <v>87.5</v>
      </c>
      <c r="BP71" s="75">
        <f t="shared" si="162"/>
        <v>0</v>
      </c>
      <c r="BQ71" s="75">
        <f t="shared" si="163"/>
        <v>0</v>
      </c>
      <c r="BR71" s="113">
        <f t="shared" si="164"/>
        <v>943250000</v>
      </c>
      <c r="BS71" s="94">
        <f t="shared" si="183"/>
        <v>1023164236.1111112</v>
      </c>
      <c r="BT71" s="97">
        <f t="shared" si="165"/>
        <v>1752479895833.3333</v>
      </c>
      <c r="BU71" s="94">
        <f t="shared" si="166"/>
        <v>770000</v>
      </c>
      <c r="BV71" s="97">
        <f t="shared" si="167"/>
        <v>350350000</v>
      </c>
      <c r="BW71" s="5"/>
      <c r="BX71" s="94">
        <f t="shared" si="168"/>
        <v>807322001227.5874</v>
      </c>
      <c r="BY71" s="97">
        <f t="shared" si="169"/>
        <v>607564180.80834401</v>
      </c>
      <c r="BZ71" s="89">
        <f t="shared" si="170"/>
        <v>0.53653783657218379</v>
      </c>
      <c r="CA71" s="86">
        <f t="shared" si="171"/>
        <v>84.347295207789685</v>
      </c>
      <c r="CB71" s="86">
        <f t="shared" si="172"/>
        <v>90.652704792210315</v>
      </c>
      <c r="CC71" s="46">
        <f t="shared" si="173"/>
        <v>7731.2400003695166</v>
      </c>
      <c r="CD71" s="76">
        <f t="shared" si="174"/>
        <v>-3.6951678339391947E-7</v>
      </c>
      <c r="CE71" s="1"/>
      <c r="CF71" s="94">
        <f t="shared" si="175"/>
        <v>334884466504.9693</v>
      </c>
      <c r="CG71" s="97">
        <f t="shared" si="176"/>
        <v>252023116.23881248</v>
      </c>
      <c r="CH71" s="104">
        <f t="shared" si="177"/>
        <v>0.73620752691632263</v>
      </c>
      <c r="CI71" s="86">
        <f t="shared" si="178"/>
        <v>40.707079482761522</v>
      </c>
      <c r="CJ71" s="86">
        <f t="shared" si="179"/>
        <v>134.29292051723849</v>
      </c>
      <c r="CK71" s="97">
        <f t="shared" si="180"/>
        <v>6014078815903.5742</v>
      </c>
      <c r="CL71" s="93"/>
    </row>
    <row r="72" spans="1:90" ht="34.9" customHeight="1">
      <c r="A72" s="20"/>
      <c r="B72" s="200"/>
      <c r="C72" s="207"/>
      <c r="D72" s="32" t="s">
        <v>17</v>
      </c>
      <c r="E72" s="32" t="s">
        <v>18</v>
      </c>
      <c r="F72" s="35">
        <v>2025</v>
      </c>
      <c r="G72" s="1"/>
      <c r="H72" s="37" t="s">
        <v>150</v>
      </c>
      <c r="I72" s="32" t="str">
        <f t="shared" si="181"/>
        <v>Discrete</v>
      </c>
      <c r="J72" s="32" t="s">
        <v>70</v>
      </c>
      <c r="K72" s="32" t="s">
        <v>72</v>
      </c>
      <c r="L72" s="38" t="s">
        <v>65</v>
      </c>
      <c r="M72" s="38" t="s">
        <v>264</v>
      </c>
      <c r="N72" s="38" t="s">
        <v>268</v>
      </c>
      <c r="O72" s="38" t="s">
        <v>270</v>
      </c>
      <c r="P72" s="2"/>
      <c r="Q72" s="50">
        <f>(9452/2)</f>
        <v>4726</v>
      </c>
      <c r="R72" s="54">
        <f t="shared" si="58"/>
        <v>2775.3040577877809</v>
      </c>
      <c r="S72" s="57">
        <v>2182.482933262776</v>
      </c>
      <c r="T72" s="54">
        <f t="shared" si="145"/>
        <v>327.30274836209412</v>
      </c>
      <c r="U72" s="3" t="s">
        <v>75</v>
      </c>
      <c r="V72" s="28" t="s">
        <v>133</v>
      </c>
      <c r="W72" s="28">
        <f t="shared" si="184"/>
        <v>3</v>
      </c>
      <c r="X72" s="28" t="s">
        <v>14</v>
      </c>
      <c r="Y72" s="32">
        <v>35</v>
      </c>
      <c r="Z72" s="32">
        <v>11000</v>
      </c>
      <c r="AA72" s="54">
        <v>690</v>
      </c>
      <c r="AB72" s="32">
        <v>35</v>
      </c>
      <c r="AC72" s="54">
        <f t="shared" si="65"/>
        <v>366.66666666666669</v>
      </c>
      <c r="AD72" s="32">
        <f t="shared" si="133"/>
        <v>35</v>
      </c>
      <c r="AE72" s="32">
        <v>5800</v>
      </c>
      <c r="AF72" s="1"/>
      <c r="AG72" s="28" t="s">
        <v>72</v>
      </c>
      <c r="AH72" s="32" t="s">
        <v>133</v>
      </c>
      <c r="AI72" s="32">
        <v>245</v>
      </c>
      <c r="AJ72" s="32">
        <v>130</v>
      </c>
      <c r="AK72" s="32">
        <v>11000</v>
      </c>
      <c r="AL72" s="1"/>
      <c r="AM72" s="64" t="s">
        <v>255</v>
      </c>
      <c r="AN72" s="28">
        <v>90</v>
      </c>
      <c r="AO72" s="54">
        <f>AE72/40</f>
        <v>145</v>
      </c>
      <c r="AP72" s="54">
        <f>(60*(0.7*8)^1.7)</f>
        <v>1122.2016328752488</v>
      </c>
      <c r="AQ72" s="1"/>
      <c r="AR72" s="50">
        <f>300-(AJ72/2)</f>
        <v>235</v>
      </c>
      <c r="AS72" s="54">
        <f>300-AJ72/2</f>
        <v>235</v>
      </c>
      <c r="AT72" s="54">
        <f t="shared" si="185"/>
        <v>600</v>
      </c>
      <c r="AU72" s="1"/>
      <c r="AV72" s="78">
        <f t="shared" si="146"/>
        <v>4.0517241379310343E-2</v>
      </c>
      <c r="AW72" s="81">
        <f t="shared" si="147"/>
        <v>4.0517241379310343E-2</v>
      </c>
      <c r="AX72" s="84">
        <f t="shared" si="148"/>
        <v>23.057783948900465</v>
      </c>
      <c r="AY72" s="87">
        <f t="shared" si="149"/>
        <v>16.571428571428573</v>
      </c>
      <c r="AZ72" s="90">
        <f t="shared" si="150"/>
        <v>0.53</v>
      </c>
      <c r="BA72" s="32">
        <v>1.21</v>
      </c>
      <c r="BB72" s="32">
        <v>80</v>
      </c>
      <c r="BC72" s="54">
        <f t="shared" si="151"/>
        <v>33394.362689252201</v>
      </c>
      <c r="BD72" s="87">
        <f t="shared" si="152"/>
        <v>98.651374181047061</v>
      </c>
      <c r="BE72" s="87">
        <f t="shared" si="153"/>
        <v>98.651374181047061</v>
      </c>
      <c r="BF72" s="57">
        <f t="shared" si="154"/>
        <v>327.30274836209412</v>
      </c>
      <c r="BG72" s="4"/>
      <c r="BH72" s="8">
        <f t="shared" si="155"/>
        <v>2</v>
      </c>
      <c r="BI72" s="8">
        <f t="shared" si="156"/>
        <v>1</v>
      </c>
      <c r="BJ72" s="13">
        <f t="shared" si="157"/>
        <v>79914236.111111119</v>
      </c>
      <c r="BK72" s="12">
        <f t="shared" si="158"/>
        <v>105</v>
      </c>
      <c r="BL72" s="12">
        <f t="shared" si="182"/>
        <v>52.5</v>
      </c>
      <c r="BM72" s="12">
        <f t="shared" si="159"/>
        <v>17.5</v>
      </c>
      <c r="BN72" s="12">
        <f t="shared" si="160"/>
        <v>52.5</v>
      </c>
      <c r="BO72" s="12">
        <f t="shared" si="161"/>
        <v>87.5</v>
      </c>
      <c r="BP72" s="12">
        <f t="shared" si="162"/>
        <v>0</v>
      </c>
      <c r="BQ72" s="12">
        <f t="shared" si="163"/>
        <v>0</v>
      </c>
      <c r="BR72" s="92">
        <f t="shared" si="164"/>
        <v>943250000</v>
      </c>
      <c r="BS72" s="95">
        <f t="shared" si="183"/>
        <v>1023164236.1111112</v>
      </c>
      <c r="BT72" s="98">
        <f t="shared" si="165"/>
        <v>1752479895833.3333</v>
      </c>
      <c r="BU72" s="95">
        <f t="shared" si="166"/>
        <v>770000</v>
      </c>
      <c r="BV72" s="98">
        <f t="shared" si="167"/>
        <v>350350000</v>
      </c>
      <c r="BW72" s="5"/>
      <c r="BX72" s="95">
        <f t="shared" si="168"/>
        <v>2233038483237.3452</v>
      </c>
      <c r="BY72" s="98">
        <f t="shared" si="169"/>
        <v>1680511858.6123376</v>
      </c>
      <c r="BZ72" s="90">
        <f t="shared" si="170"/>
        <v>1.5454443487975684E-2</v>
      </c>
      <c r="CA72" s="87">
        <f t="shared" si="171"/>
        <v>12.077418442081333</v>
      </c>
      <c r="CB72" s="87">
        <f t="shared" si="172"/>
        <v>162.92258155791868</v>
      </c>
      <c r="CC72" s="43">
        <f t="shared" si="173"/>
        <v>4726.000000527737</v>
      </c>
      <c r="CD72" s="11">
        <f t="shared" si="174"/>
        <v>-5.2773702918784693E-7</v>
      </c>
      <c r="CE72" s="1"/>
      <c r="CF72" s="95">
        <f t="shared" si="175"/>
        <v>334884466504.9693</v>
      </c>
      <c r="CG72" s="98">
        <f t="shared" si="176"/>
        <v>252023116.23881248</v>
      </c>
      <c r="CH72" s="105">
        <f t="shared" si="177"/>
        <v>9.4751594490728383E-2</v>
      </c>
      <c r="CI72" s="87">
        <f t="shared" si="178"/>
        <v>8.2007122686161757</v>
      </c>
      <c r="CJ72" s="87">
        <f t="shared" si="179"/>
        <v>166.79928773138383</v>
      </c>
      <c r="CK72" s="98">
        <f t="shared" si="180"/>
        <v>2775304057787.7808</v>
      </c>
      <c r="CL72" s="93"/>
    </row>
    <row r="73" spans="1:90" ht="34.9" customHeight="1">
      <c r="A73" s="20"/>
      <c r="B73" s="200"/>
      <c r="C73" s="208"/>
      <c r="D73" s="36" t="s">
        <v>17</v>
      </c>
      <c r="E73" s="36" t="s">
        <v>20</v>
      </c>
      <c r="F73" s="121">
        <v>2025</v>
      </c>
      <c r="G73" s="1"/>
      <c r="H73" s="114" t="s">
        <v>150</v>
      </c>
      <c r="I73" s="36" t="str">
        <f t="shared" si="181"/>
        <v>Glue</v>
      </c>
      <c r="J73" s="36" t="s">
        <v>70</v>
      </c>
      <c r="K73" s="36" t="s">
        <v>72</v>
      </c>
      <c r="L73" s="39" t="s">
        <v>65</v>
      </c>
      <c r="M73" s="39" t="s">
        <v>264</v>
      </c>
      <c r="N73" s="42" t="s">
        <v>67</v>
      </c>
      <c r="O73" s="42" t="s">
        <v>270</v>
      </c>
      <c r="P73" s="2"/>
      <c r="Q73" s="51">
        <f>(19457.47/2)</f>
        <v>9728.7350000000006</v>
      </c>
      <c r="R73" s="55">
        <f t="shared" si="58"/>
        <v>7130.899250845755</v>
      </c>
      <c r="S73" s="58">
        <v>880.86740321061916</v>
      </c>
      <c r="T73" s="55">
        <f t="shared" si="145"/>
        <v>327.30274836209412</v>
      </c>
      <c r="U73" s="3" t="s">
        <v>75</v>
      </c>
      <c r="V73" s="29" t="s">
        <v>133</v>
      </c>
      <c r="W73" s="29">
        <f t="shared" si="184"/>
        <v>3</v>
      </c>
      <c r="X73" s="29" t="s">
        <v>14</v>
      </c>
      <c r="Y73" s="36">
        <v>35</v>
      </c>
      <c r="Z73" s="36">
        <v>11000</v>
      </c>
      <c r="AA73" s="55">
        <v>690</v>
      </c>
      <c r="AB73" s="36">
        <v>35</v>
      </c>
      <c r="AC73" s="55">
        <f t="shared" si="65"/>
        <v>366.66666666666669</v>
      </c>
      <c r="AD73" s="36">
        <f t="shared" si="133"/>
        <v>35</v>
      </c>
      <c r="AE73" s="36">
        <v>5800</v>
      </c>
      <c r="AF73" s="1"/>
      <c r="AG73" s="29" t="s">
        <v>72</v>
      </c>
      <c r="AH73" s="36" t="s">
        <v>133</v>
      </c>
      <c r="AI73" s="36">
        <v>245</v>
      </c>
      <c r="AJ73" s="36">
        <v>130</v>
      </c>
      <c r="AK73" s="36">
        <v>11000</v>
      </c>
      <c r="AL73" s="1"/>
      <c r="AM73" s="66" t="s">
        <v>20</v>
      </c>
      <c r="AN73" s="29" t="s">
        <v>14</v>
      </c>
      <c r="AO73" s="36" t="s">
        <v>14</v>
      </c>
      <c r="AP73" s="55" t="s">
        <v>14</v>
      </c>
      <c r="AQ73" s="1"/>
      <c r="AR73" s="51">
        <f>300-(AJ73/2)</f>
        <v>235</v>
      </c>
      <c r="AS73" s="55">
        <f>300-AJ73/2</f>
        <v>235</v>
      </c>
      <c r="AT73" s="55">
        <f t="shared" si="185"/>
        <v>600</v>
      </c>
      <c r="AU73" s="1"/>
      <c r="AV73" s="79">
        <f t="shared" si="146"/>
        <v>4.0517241379310343E-2</v>
      </c>
      <c r="AW73" s="82">
        <f t="shared" si="147"/>
        <v>4.0517241379310343E-2</v>
      </c>
      <c r="AX73" s="85">
        <f t="shared" si="148"/>
        <v>23.057783948900465</v>
      </c>
      <c r="AY73" s="88">
        <f t="shared" si="149"/>
        <v>16.571428571428573</v>
      </c>
      <c r="AZ73" s="91">
        <f t="shared" si="150"/>
        <v>0.53</v>
      </c>
      <c r="BA73" s="36">
        <v>1.21</v>
      </c>
      <c r="BB73" s="36">
        <v>80</v>
      </c>
      <c r="BC73" s="55">
        <f t="shared" si="151"/>
        <v>33394.362689252201</v>
      </c>
      <c r="BD73" s="88">
        <f t="shared" si="152"/>
        <v>98.651374181047061</v>
      </c>
      <c r="BE73" s="88">
        <f t="shared" si="153"/>
        <v>98.651374181047061</v>
      </c>
      <c r="BF73" s="58">
        <f t="shared" si="154"/>
        <v>327.30274836209412</v>
      </c>
      <c r="BG73" s="4"/>
      <c r="BH73" s="115">
        <f t="shared" si="155"/>
        <v>2</v>
      </c>
      <c r="BI73" s="115">
        <f t="shared" si="156"/>
        <v>1</v>
      </c>
      <c r="BJ73" s="116">
        <f t="shared" si="157"/>
        <v>79914236.111111119</v>
      </c>
      <c r="BK73" s="117">
        <f t="shared" si="158"/>
        <v>105</v>
      </c>
      <c r="BL73" s="117">
        <f t="shared" si="182"/>
        <v>52.5</v>
      </c>
      <c r="BM73" s="117">
        <f t="shared" si="159"/>
        <v>17.5</v>
      </c>
      <c r="BN73" s="117">
        <f t="shared" si="160"/>
        <v>52.5</v>
      </c>
      <c r="BO73" s="117">
        <f t="shared" si="161"/>
        <v>87.5</v>
      </c>
      <c r="BP73" s="117">
        <f t="shared" si="162"/>
        <v>0</v>
      </c>
      <c r="BQ73" s="117">
        <f t="shared" si="163"/>
        <v>0</v>
      </c>
      <c r="BR73" s="118">
        <f t="shared" si="164"/>
        <v>943250000</v>
      </c>
      <c r="BS73" s="96">
        <f t="shared" si="183"/>
        <v>1023164236.1111112</v>
      </c>
      <c r="BT73" s="99">
        <f t="shared" si="165"/>
        <v>1752479895833.3333</v>
      </c>
      <c r="BU73" s="96">
        <f t="shared" si="166"/>
        <v>770000</v>
      </c>
      <c r="BV73" s="99">
        <f t="shared" si="167"/>
        <v>350350000</v>
      </c>
      <c r="BW73" s="5"/>
      <c r="BX73" s="96">
        <f t="shared" si="168"/>
        <v>901272023721.17126</v>
      </c>
      <c r="BY73" s="99">
        <f t="shared" si="169"/>
        <v>678267900.47217679</v>
      </c>
      <c r="BZ73" s="91">
        <f t="shared" si="170"/>
        <v>1</v>
      </c>
      <c r="CA73" s="88">
        <f t="shared" si="171"/>
        <v>115.39453331323936</v>
      </c>
      <c r="CB73" s="88">
        <f t="shared" si="172"/>
        <v>59.605466686760636</v>
      </c>
      <c r="CC73" s="119">
        <f t="shared" si="173"/>
        <v>9728.7350001558516</v>
      </c>
      <c r="CD73" s="120">
        <f t="shared" si="174"/>
        <v>-1.5585101209580898E-7</v>
      </c>
      <c r="CE73" s="1"/>
      <c r="CF73" s="96">
        <f t="shared" si="175"/>
        <v>334884466504.9693</v>
      </c>
      <c r="CG73" s="99">
        <f t="shared" si="176"/>
        <v>252023116.23881248</v>
      </c>
      <c r="CH73" s="106">
        <f t="shared" si="177"/>
        <v>1</v>
      </c>
      <c r="CI73" s="88">
        <f t="shared" si="178"/>
        <v>42.876995745015385</v>
      </c>
      <c r="CJ73" s="88">
        <f t="shared" si="179"/>
        <v>132.12300425498461</v>
      </c>
      <c r="CK73" s="99">
        <f t="shared" si="180"/>
        <v>7130899250845.7549</v>
      </c>
      <c r="CL73" s="93"/>
    </row>
    <row r="74" spans="1:90" ht="34.9" customHeight="1">
      <c r="A74" s="20"/>
      <c r="B74" s="200" t="s">
        <v>292</v>
      </c>
      <c r="C74" s="206" t="s">
        <v>310</v>
      </c>
      <c r="D74" s="31" t="s">
        <v>46</v>
      </c>
      <c r="E74" s="31" t="s">
        <v>47</v>
      </c>
      <c r="F74" s="108">
        <v>2025</v>
      </c>
      <c r="G74" s="1"/>
      <c r="H74" s="109" t="s">
        <v>149</v>
      </c>
      <c r="I74" s="31" t="str">
        <f t="shared" ref="I74:I79" si="186">IF(AP74="-","Glue","Discrete")</f>
        <v>Glue</v>
      </c>
      <c r="J74" s="31" t="s">
        <v>70</v>
      </c>
      <c r="K74" s="31" t="s">
        <v>72</v>
      </c>
      <c r="L74" s="110" t="s">
        <v>66</v>
      </c>
      <c r="M74" s="110" t="s">
        <v>265</v>
      </c>
      <c r="N74" s="145" t="s">
        <v>67</v>
      </c>
      <c r="O74" s="145" t="s">
        <v>270</v>
      </c>
      <c r="P74" s="2"/>
      <c r="Q74" s="49">
        <f>((25900*(AE74^3) / (48*8)))/1000^3</f>
        <v>4997.0812500000002</v>
      </c>
      <c r="R74" s="53">
        <f t="shared" si="58"/>
        <v>4710.9829708342904</v>
      </c>
      <c r="S74" s="56">
        <v>426.19479216453783</v>
      </c>
      <c r="T74" s="53">
        <f t="shared" si="145"/>
        <v>359.1198797547122</v>
      </c>
      <c r="U74" s="3" t="s">
        <v>75</v>
      </c>
      <c r="V74" s="27" t="s">
        <v>61</v>
      </c>
      <c r="W74" s="27">
        <f t="shared" si="184"/>
        <v>3</v>
      </c>
      <c r="X74" s="27" t="s">
        <v>14</v>
      </c>
      <c r="Y74" s="31">
        <v>35</v>
      </c>
      <c r="Z74" s="31">
        <v>9500</v>
      </c>
      <c r="AA74" s="53">
        <f>Z74/16</f>
        <v>593.75</v>
      </c>
      <c r="AB74" s="31">
        <v>35</v>
      </c>
      <c r="AC74" s="53">
        <f>9000/30</f>
        <v>300</v>
      </c>
      <c r="AD74" s="31">
        <f t="shared" si="133"/>
        <v>35</v>
      </c>
      <c r="AE74" s="31">
        <v>4200</v>
      </c>
      <c r="AF74" s="1"/>
      <c r="AG74" s="27" t="s">
        <v>72</v>
      </c>
      <c r="AH74" s="31" t="s">
        <v>257</v>
      </c>
      <c r="AI74" s="31">
        <v>245</v>
      </c>
      <c r="AJ74" s="31">
        <v>80</v>
      </c>
      <c r="AK74" s="31">
        <v>10300</v>
      </c>
      <c r="AL74" s="1"/>
      <c r="AM74" s="63" t="s">
        <v>20</v>
      </c>
      <c r="AN74" s="27">
        <v>90</v>
      </c>
      <c r="AO74" s="31">
        <v>300</v>
      </c>
      <c r="AP74" s="112" t="s">
        <v>14</v>
      </c>
      <c r="AQ74" s="1"/>
      <c r="AR74" s="49">
        <f>(1000-80)/2</f>
        <v>460</v>
      </c>
      <c r="AS74" s="53">
        <f>AR74</f>
        <v>460</v>
      </c>
      <c r="AT74" s="53">
        <f t="shared" si="185"/>
        <v>1000</v>
      </c>
      <c r="AU74" s="1"/>
      <c r="AV74" s="77">
        <f t="shared" si="146"/>
        <v>0.10952380952380952</v>
      </c>
      <c r="AW74" s="80">
        <f t="shared" si="147"/>
        <v>0.10952380952380952</v>
      </c>
      <c r="AX74" s="83">
        <f t="shared" si="148"/>
        <v>23.141630435987377</v>
      </c>
      <c r="AY74" s="86">
        <f t="shared" si="149"/>
        <v>12</v>
      </c>
      <c r="AZ74" s="89">
        <f t="shared" si="150"/>
        <v>0.53</v>
      </c>
      <c r="BA74" s="31">
        <v>1.21</v>
      </c>
      <c r="BB74" s="31">
        <v>80</v>
      </c>
      <c r="BC74" s="53">
        <f t="shared" si="151"/>
        <v>28736.091082236948</v>
      </c>
      <c r="BD74" s="86">
        <f t="shared" si="152"/>
        <v>139.5599398773561</v>
      </c>
      <c r="BE74" s="86">
        <f t="shared" si="153"/>
        <v>139.5599398773561</v>
      </c>
      <c r="BF74" s="56">
        <f t="shared" si="154"/>
        <v>359.1198797547122</v>
      </c>
      <c r="BG74" s="4"/>
      <c r="BH74" s="23">
        <f t="shared" si="155"/>
        <v>2</v>
      </c>
      <c r="BI74" s="23">
        <f t="shared" si="156"/>
        <v>1</v>
      </c>
      <c r="BJ74" s="30">
        <f t="shared" si="157"/>
        <v>68957291.666666672</v>
      </c>
      <c r="BK74" s="75">
        <f t="shared" si="158"/>
        <v>105</v>
      </c>
      <c r="BL74" s="75">
        <f t="shared" si="182"/>
        <v>52.5</v>
      </c>
      <c r="BM74" s="75">
        <f t="shared" si="159"/>
        <v>17.5</v>
      </c>
      <c r="BN74" s="75">
        <f t="shared" si="160"/>
        <v>52.5</v>
      </c>
      <c r="BO74" s="75">
        <f t="shared" si="161"/>
        <v>87.5</v>
      </c>
      <c r="BP74" s="75">
        <f t="shared" si="162"/>
        <v>0</v>
      </c>
      <c r="BQ74" s="75">
        <f t="shared" si="163"/>
        <v>0</v>
      </c>
      <c r="BR74" s="113">
        <f t="shared" si="164"/>
        <v>814625000</v>
      </c>
      <c r="BS74" s="94">
        <f t="shared" si="183"/>
        <v>883582291.66666663</v>
      </c>
      <c r="BT74" s="97">
        <f t="shared" si="165"/>
        <v>1009820583333.3333</v>
      </c>
      <c r="BU74" s="94">
        <f t="shared" si="166"/>
        <v>665000</v>
      </c>
      <c r="BV74" s="97">
        <f t="shared" si="167"/>
        <v>201880000</v>
      </c>
      <c r="BW74" s="5"/>
      <c r="BX74" s="94">
        <f t="shared" si="168"/>
        <v>376578171157.14105</v>
      </c>
      <c r="BY74" s="97">
        <f t="shared" si="169"/>
        <v>283419536.78941768</v>
      </c>
      <c r="BZ74" s="89">
        <f t="shared" si="170"/>
        <v>1</v>
      </c>
      <c r="CA74" s="86">
        <f t="shared" si="171"/>
        <v>102.20166140333646</v>
      </c>
      <c r="CB74" s="86">
        <f t="shared" si="172"/>
        <v>72.798338596663541</v>
      </c>
      <c r="CC74" s="46">
        <f t="shared" si="173"/>
        <v>4997.0812502089484</v>
      </c>
      <c r="CD74" s="76">
        <f t="shared" si="174"/>
        <v>-2.0894822228001431E-7</v>
      </c>
      <c r="CE74" s="1"/>
      <c r="CF74" s="94">
        <f t="shared" si="175"/>
        <v>317311966336.72638</v>
      </c>
      <c r="CG74" s="97">
        <f t="shared" si="176"/>
        <v>238814720.03688362</v>
      </c>
      <c r="CH74" s="104">
        <f t="shared" si="177"/>
        <v>1</v>
      </c>
      <c r="CI74" s="86">
        <f t="shared" si="178"/>
        <v>86.117073762197649</v>
      </c>
      <c r="CJ74" s="86">
        <f t="shared" si="179"/>
        <v>88.882926237802351</v>
      </c>
      <c r="CK74" s="97">
        <f t="shared" si="180"/>
        <v>4710982970834.29</v>
      </c>
      <c r="CL74" s="93"/>
    </row>
    <row r="75" spans="1:90" ht="34.9" customHeight="1">
      <c r="A75" s="20"/>
      <c r="B75" s="200"/>
      <c r="C75" s="207"/>
      <c r="D75" s="32" t="s">
        <v>46</v>
      </c>
      <c r="E75" s="33" t="s">
        <v>48</v>
      </c>
      <c r="F75" s="35">
        <v>2025</v>
      </c>
      <c r="G75" s="1"/>
      <c r="H75" s="37" t="s">
        <v>149</v>
      </c>
      <c r="I75" s="32" t="str">
        <f t="shared" si="186"/>
        <v>Glue</v>
      </c>
      <c r="J75" s="32" t="s">
        <v>70</v>
      </c>
      <c r="K75" s="32" t="s">
        <v>72</v>
      </c>
      <c r="L75" s="38" t="s">
        <v>66</v>
      </c>
      <c r="M75" s="38" t="s">
        <v>265</v>
      </c>
      <c r="N75" s="41" t="s">
        <v>67</v>
      </c>
      <c r="O75" s="41" t="s">
        <v>270</v>
      </c>
      <c r="P75" s="2"/>
      <c r="Q75" s="50">
        <f>((23000*(AE75^3) / (48*8)))/1000^3</f>
        <v>4437.5625</v>
      </c>
      <c r="R75" s="54">
        <f t="shared" si="58"/>
        <v>4697.4864889133496</v>
      </c>
      <c r="S75" s="57">
        <v>315.18150279870349</v>
      </c>
      <c r="T75" s="54">
        <f t="shared" si="145"/>
        <v>359.1198797547122</v>
      </c>
      <c r="U75" s="3" t="s">
        <v>75</v>
      </c>
      <c r="V75" s="28" t="s">
        <v>61</v>
      </c>
      <c r="W75" s="28">
        <f t="shared" si="184"/>
        <v>3</v>
      </c>
      <c r="X75" s="28" t="s">
        <v>14</v>
      </c>
      <c r="Y75" s="32">
        <v>35</v>
      </c>
      <c r="Z75" s="32">
        <v>9500</v>
      </c>
      <c r="AA75" s="54">
        <f t="shared" ref="AA75:AA79" si="187">Z75/16</f>
        <v>593.75</v>
      </c>
      <c r="AB75" s="32">
        <v>35</v>
      </c>
      <c r="AC75" s="54">
        <f t="shared" si="73"/>
        <v>300</v>
      </c>
      <c r="AD75" s="32">
        <f t="shared" ref="AD75:AD79" si="188">MAX(Y75,AB75)</f>
        <v>35</v>
      </c>
      <c r="AE75" s="32">
        <v>4200</v>
      </c>
      <c r="AF75" s="1"/>
      <c r="AG75" s="28" t="s">
        <v>72</v>
      </c>
      <c r="AH75" s="32" t="s">
        <v>257</v>
      </c>
      <c r="AI75" s="32">
        <v>245</v>
      </c>
      <c r="AJ75" s="32">
        <v>80</v>
      </c>
      <c r="AK75" s="32">
        <v>10300</v>
      </c>
      <c r="AL75" s="1"/>
      <c r="AM75" s="64" t="s">
        <v>20</v>
      </c>
      <c r="AN75" s="28">
        <v>90</v>
      </c>
      <c r="AO75" s="32">
        <v>300</v>
      </c>
      <c r="AP75" s="67" t="s">
        <v>14</v>
      </c>
      <c r="AQ75" s="1"/>
      <c r="AR75" s="50">
        <f t="shared" ref="AR75:AR81" si="189">(1000-80)/2</f>
        <v>460</v>
      </c>
      <c r="AS75" s="54">
        <f t="shared" ref="AS75:AS79" si="190">AR75</f>
        <v>460</v>
      </c>
      <c r="AT75" s="54">
        <f t="shared" si="185"/>
        <v>1000</v>
      </c>
      <c r="AU75" s="1"/>
      <c r="AV75" s="78">
        <f t="shared" si="146"/>
        <v>0.10952380952380952</v>
      </c>
      <c r="AW75" s="81">
        <f t="shared" si="147"/>
        <v>0.10952380952380952</v>
      </c>
      <c r="AX75" s="84">
        <f t="shared" si="148"/>
        <v>23.141630435987377</v>
      </c>
      <c r="AY75" s="87">
        <f t="shared" si="149"/>
        <v>12</v>
      </c>
      <c r="AZ75" s="90">
        <f t="shared" si="150"/>
        <v>0.53</v>
      </c>
      <c r="BA75" s="32">
        <v>1.21</v>
      </c>
      <c r="BB75" s="32">
        <v>80</v>
      </c>
      <c r="BC75" s="54">
        <f t="shared" si="151"/>
        <v>28736.091082236948</v>
      </c>
      <c r="BD75" s="87">
        <f t="shared" si="152"/>
        <v>139.5599398773561</v>
      </c>
      <c r="BE75" s="87">
        <f t="shared" si="153"/>
        <v>139.5599398773561</v>
      </c>
      <c r="BF75" s="57">
        <f t="shared" si="154"/>
        <v>359.1198797547122</v>
      </c>
      <c r="BG75" s="4"/>
      <c r="BH75" s="8">
        <f t="shared" si="155"/>
        <v>2</v>
      </c>
      <c r="BI75" s="8">
        <f t="shared" si="156"/>
        <v>1</v>
      </c>
      <c r="BJ75" s="13">
        <f t="shared" si="157"/>
        <v>68957291.666666672</v>
      </c>
      <c r="BK75" s="12">
        <f t="shared" si="158"/>
        <v>105</v>
      </c>
      <c r="BL75" s="12">
        <f t="shared" si="182"/>
        <v>52.5</v>
      </c>
      <c r="BM75" s="12">
        <f t="shared" si="159"/>
        <v>17.5</v>
      </c>
      <c r="BN75" s="12">
        <f t="shared" si="160"/>
        <v>52.5</v>
      </c>
      <c r="BO75" s="12">
        <f t="shared" si="161"/>
        <v>87.5</v>
      </c>
      <c r="BP75" s="12">
        <f t="shared" si="162"/>
        <v>0</v>
      </c>
      <c r="BQ75" s="12">
        <f t="shared" si="163"/>
        <v>0</v>
      </c>
      <c r="BR75" s="92">
        <f t="shared" si="164"/>
        <v>814625000</v>
      </c>
      <c r="BS75" s="95">
        <f t="shared" si="183"/>
        <v>883582291.66666663</v>
      </c>
      <c r="BT75" s="98">
        <f t="shared" si="165"/>
        <v>1009820583333.3333</v>
      </c>
      <c r="BU75" s="95">
        <f t="shared" si="166"/>
        <v>665000</v>
      </c>
      <c r="BV75" s="98">
        <f t="shared" si="167"/>
        <v>201880000</v>
      </c>
      <c r="BW75" s="5"/>
      <c r="BX75" s="95">
        <f t="shared" si="168"/>
        <v>278488794533.82233</v>
      </c>
      <c r="BY75" s="98">
        <f t="shared" si="169"/>
        <v>209595699.36113781</v>
      </c>
      <c r="BZ75" s="90">
        <f t="shared" si="170"/>
        <v>1</v>
      </c>
      <c r="CA75" s="87">
        <f t="shared" si="171"/>
        <v>89.140737703703437</v>
      </c>
      <c r="CB75" s="87">
        <f t="shared" si="172"/>
        <v>85.859262296296563</v>
      </c>
      <c r="CC75" s="43">
        <f t="shared" si="173"/>
        <v>4437.5625002012939</v>
      </c>
      <c r="CD75" s="11">
        <f t="shared" si="174"/>
        <v>-2.0129391486989334E-7</v>
      </c>
      <c r="CE75" s="1"/>
      <c r="CF75" s="95">
        <f t="shared" si="175"/>
        <v>317311966336.72638</v>
      </c>
      <c r="CG75" s="98">
        <f t="shared" si="176"/>
        <v>238814720.03688362</v>
      </c>
      <c r="CH75" s="105">
        <f t="shared" si="177"/>
        <v>1</v>
      </c>
      <c r="CI75" s="87">
        <f t="shared" si="178"/>
        <v>101.56754353013386</v>
      </c>
      <c r="CJ75" s="87">
        <f t="shared" si="179"/>
        <v>73.432456469866139</v>
      </c>
      <c r="CK75" s="98">
        <f t="shared" si="180"/>
        <v>4697486488913.3496</v>
      </c>
      <c r="CL75" s="93"/>
    </row>
    <row r="76" spans="1:90" ht="34.9" customHeight="1">
      <c r="A76" s="20"/>
      <c r="B76" s="200"/>
      <c r="C76" s="207"/>
      <c r="D76" s="32" t="s">
        <v>46</v>
      </c>
      <c r="E76" s="33" t="s">
        <v>49</v>
      </c>
      <c r="F76" s="35">
        <v>2025</v>
      </c>
      <c r="G76" s="1"/>
      <c r="H76" s="37" t="s">
        <v>149</v>
      </c>
      <c r="I76" s="32" t="str">
        <f t="shared" si="186"/>
        <v>Glue</v>
      </c>
      <c r="J76" s="32" t="s">
        <v>70</v>
      </c>
      <c r="K76" s="32" t="s">
        <v>72</v>
      </c>
      <c r="L76" s="38" t="s">
        <v>66</v>
      </c>
      <c r="M76" s="38" t="s">
        <v>265</v>
      </c>
      <c r="N76" s="41" t="s">
        <v>67</v>
      </c>
      <c r="O76" s="41" t="s">
        <v>270</v>
      </c>
      <c r="P76" s="2"/>
      <c r="Q76" s="50">
        <f>((26000*(AE76^3) / (48*8)))/1000^3</f>
        <v>5016.375</v>
      </c>
      <c r="R76" s="54">
        <f t="shared" si="58"/>
        <v>4715.063693396788</v>
      </c>
      <c r="S76" s="57">
        <v>430.59302782774898</v>
      </c>
      <c r="T76" s="54">
        <f t="shared" si="145"/>
        <v>359.1198797547122</v>
      </c>
      <c r="U76" s="3" t="s">
        <v>75</v>
      </c>
      <c r="V76" s="28" t="s">
        <v>61</v>
      </c>
      <c r="W76" s="28">
        <f t="shared" si="184"/>
        <v>3</v>
      </c>
      <c r="X76" s="28" t="s">
        <v>14</v>
      </c>
      <c r="Y76" s="32">
        <v>35</v>
      </c>
      <c r="Z76" s="32">
        <v>9500</v>
      </c>
      <c r="AA76" s="54">
        <f t="shared" si="187"/>
        <v>593.75</v>
      </c>
      <c r="AB76" s="32">
        <v>35</v>
      </c>
      <c r="AC76" s="54">
        <f t="shared" si="73"/>
        <v>300</v>
      </c>
      <c r="AD76" s="32">
        <f t="shared" si="188"/>
        <v>35</v>
      </c>
      <c r="AE76" s="32">
        <v>4200</v>
      </c>
      <c r="AF76" s="1"/>
      <c r="AG76" s="28" t="s">
        <v>72</v>
      </c>
      <c r="AH76" s="32" t="s">
        <v>257</v>
      </c>
      <c r="AI76" s="32">
        <v>245</v>
      </c>
      <c r="AJ76" s="32">
        <v>80</v>
      </c>
      <c r="AK76" s="32">
        <v>10300</v>
      </c>
      <c r="AL76" s="1"/>
      <c r="AM76" s="64" t="s">
        <v>20</v>
      </c>
      <c r="AN76" s="28">
        <v>90</v>
      </c>
      <c r="AO76" s="32">
        <v>300</v>
      </c>
      <c r="AP76" s="67" t="s">
        <v>14</v>
      </c>
      <c r="AQ76" s="1"/>
      <c r="AR76" s="50">
        <f t="shared" si="189"/>
        <v>460</v>
      </c>
      <c r="AS76" s="54">
        <f t="shared" si="190"/>
        <v>460</v>
      </c>
      <c r="AT76" s="54">
        <f t="shared" si="185"/>
        <v>1000</v>
      </c>
      <c r="AU76" s="1"/>
      <c r="AV76" s="78">
        <f t="shared" si="146"/>
        <v>0.10952380952380952</v>
      </c>
      <c r="AW76" s="81">
        <f t="shared" si="147"/>
        <v>0.10952380952380952</v>
      </c>
      <c r="AX76" s="84">
        <f t="shared" si="148"/>
        <v>23.141630435987377</v>
      </c>
      <c r="AY76" s="87">
        <f t="shared" si="149"/>
        <v>12</v>
      </c>
      <c r="AZ76" s="90">
        <f t="shared" si="150"/>
        <v>0.53</v>
      </c>
      <c r="BA76" s="32">
        <v>1.21</v>
      </c>
      <c r="BB76" s="32">
        <v>80</v>
      </c>
      <c r="BC76" s="54">
        <f t="shared" si="151"/>
        <v>28736.091082236948</v>
      </c>
      <c r="BD76" s="87">
        <f t="shared" si="152"/>
        <v>139.5599398773561</v>
      </c>
      <c r="BE76" s="87">
        <f t="shared" si="153"/>
        <v>139.5599398773561</v>
      </c>
      <c r="BF76" s="57">
        <f t="shared" si="154"/>
        <v>359.1198797547122</v>
      </c>
      <c r="BG76" s="4"/>
      <c r="BH76" s="8">
        <f t="shared" si="155"/>
        <v>2</v>
      </c>
      <c r="BI76" s="8">
        <f t="shared" si="156"/>
        <v>1</v>
      </c>
      <c r="BJ76" s="13">
        <f t="shared" si="157"/>
        <v>68957291.666666672</v>
      </c>
      <c r="BK76" s="12">
        <f t="shared" si="158"/>
        <v>105</v>
      </c>
      <c r="BL76" s="12">
        <f t="shared" si="182"/>
        <v>52.5</v>
      </c>
      <c r="BM76" s="12">
        <f t="shared" si="159"/>
        <v>17.5</v>
      </c>
      <c r="BN76" s="12">
        <f t="shared" si="160"/>
        <v>52.5</v>
      </c>
      <c r="BO76" s="12">
        <f t="shared" si="161"/>
        <v>87.5</v>
      </c>
      <c r="BP76" s="12">
        <f t="shared" si="162"/>
        <v>0</v>
      </c>
      <c r="BQ76" s="12">
        <f t="shared" si="163"/>
        <v>0</v>
      </c>
      <c r="BR76" s="92">
        <f t="shared" si="164"/>
        <v>814625000</v>
      </c>
      <c r="BS76" s="95">
        <f t="shared" si="183"/>
        <v>883582291.66666663</v>
      </c>
      <c r="BT76" s="98">
        <f t="shared" si="165"/>
        <v>1009820583333.3333</v>
      </c>
      <c r="BU76" s="95">
        <f t="shared" si="166"/>
        <v>665000</v>
      </c>
      <c r="BV76" s="98">
        <f t="shared" si="167"/>
        <v>201880000</v>
      </c>
      <c r="BW76" s="5"/>
      <c r="BX76" s="95">
        <f t="shared" si="168"/>
        <v>380464374303.7312</v>
      </c>
      <c r="BY76" s="98">
        <f t="shared" si="169"/>
        <v>286344363.50545305</v>
      </c>
      <c r="BZ76" s="90">
        <f t="shared" si="170"/>
        <v>1</v>
      </c>
      <c r="CA76" s="87">
        <f t="shared" si="171"/>
        <v>102.63777754486149</v>
      </c>
      <c r="CB76" s="87">
        <f t="shared" si="172"/>
        <v>72.362222455138507</v>
      </c>
      <c r="CC76" s="43">
        <f t="shared" si="173"/>
        <v>5016.375000519477</v>
      </c>
      <c r="CD76" s="11">
        <f t="shared" si="174"/>
        <v>-5.1947699830634519E-7</v>
      </c>
      <c r="CE76" s="1"/>
      <c r="CF76" s="95">
        <f t="shared" si="175"/>
        <v>317311966336.72638</v>
      </c>
      <c r="CG76" s="98">
        <f t="shared" si="176"/>
        <v>238814720.03688362</v>
      </c>
      <c r="CH76" s="105">
        <f t="shared" si="177"/>
        <v>1</v>
      </c>
      <c r="CI76" s="87">
        <f t="shared" si="178"/>
        <v>85.601168500448765</v>
      </c>
      <c r="CJ76" s="87">
        <f t="shared" si="179"/>
        <v>89.398831499551235</v>
      </c>
      <c r="CK76" s="98">
        <f t="shared" si="180"/>
        <v>4715063693396.7881</v>
      </c>
      <c r="CL76" s="93"/>
    </row>
    <row r="77" spans="1:90" ht="34.9" customHeight="1">
      <c r="A77" s="20"/>
      <c r="B77" s="200"/>
      <c r="C77" s="207"/>
      <c r="D77" s="32" t="s">
        <v>46</v>
      </c>
      <c r="E77" s="33" t="s">
        <v>50</v>
      </c>
      <c r="F77" s="35">
        <v>2025</v>
      </c>
      <c r="G77" s="1"/>
      <c r="H77" s="37" t="s">
        <v>149</v>
      </c>
      <c r="I77" s="32" t="str">
        <f t="shared" si="186"/>
        <v>Glue</v>
      </c>
      <c r="J77" s="32" t="s">
        <v>70</v>
      </c>
      <c r="K77" s="32" t="s">
        <v>72</v>
      </c>
      <c r="L77" s="38" t="s">
        <v>66</v>
      </c>
      <c r="M77" s="38" t="s">
        <v>265</v>
      </c>
      <c r="N77" s="41" t="s">
        <v>67</v>
      </c>
      <c r="O77" s="41" t="s">
        <v>270</v>
      </c>
      <c r="P77" s="2"/>
      <c r="Q77" s="50">
        <f>((23900*(AE77^3) / (48*8)))/1000^3</f>
        <v>4611.2062500000002</v>
      </c>
      <c r="R77" s="54">
        <f t="shared" si="58"/>
        <v>4679.0025544433338</v>
      </c>
      <c r="S77" s="57">
        <v>346.46931403647659</v>
      </c>
      <c r="T77" s="54">
        <f t="shared" si="145"/>
        <v>359.1198797547122</v>
      </c>
      <c r="U77" s="3" t="s">
        <v>75</v>
      </c>
      <c r="V77" s="28" t="s">
        <v>61</v>
      </c>
      <c r="W77" s="28">
        <f t="shared" si="184"/>
        <v>3</v>
      </c>
      <c r="X77" s="28" t="s">
        <v>14</v>
      </c>
      <c r="Y77" s="32">
        <v>35</v>
      </c>
      <c r="Z77" s="32">
        <v>9500</v>
      </c>
      <c r="AA77" s="54">
        <f t="shared" si="187"/>
        <v>593.75</v>
      </c>
      <c r="AB77" s="32">
        <v>35</v>
      </c>
      <c r="AC77" s="54">
        <f t="shared" si="73"/>
        <v>300</v>
      </c>
      <c r="AD77" s="32">
        <f t="shared" si="188"/>
        <v>35</v>
      </c>
      <c r="AE77" s="32">
        <v>4200</v>
      </c>
      <c r="AF77" s="1"/>
      <c r="AG77" s="28" t="s">
        <v>72</v>
      </c>
      <c r="AH77" s="32" t="s">
        <v>257</v>
      </c>
      <c r="AI77" s="32">
        <v>245</v>
      </c>
      <c r="AJ77" s="32">
        <v>80</v>
      </c>
      <c r="AK77" s="32">
        <v>10300</v>
      </c>
      <c r="AL77" s="1"/>
      <c r="AM77" s="64" t="s">
        <v>20</v>
      </c>
      <c r="AN77" s="28">
        <v>90</v>
      </c>
      <c r="AO77" s="32">
        <v>300</v>
      </c>
      <c r="AP77" s="67" t="s">
        <v>14</v>
      </c>
      <c r="AQ77" s="1"/>
      <c r="AR77" s="50">
        <f t="shared" si="189"/>
        <v>460</v>
      </c>
      <c r="AS77" s="54">
        <f t="shared" si="190"/>
        <v>460</v>
      </c>
      <c r="AT77" s="54">
        <f t="shared" si="185"/>
        <v>1000</v>
      </c>
      <c r="AU77" s="1"/>
      <c r="AV77" s="78">
        <f t="shared" si="146"/>
        <v>0.10952380952380952</v>
      </c>
      <c r="AW77" s="81">
        <f t="shared" si="147"/>
        <v>0.10952380952380952</v>
      </c>
      <c r="AX77" s="84">
        <f t="shared" si="148"/>
        <v>23.141630435987377</v>
      </c>
      <c r="AY77" s="87">
        <f t="shared" si="149"/>
        <v>12</v>
      </c>
      <c r="AZ77" s="90">
        <f t="shared" si="150"/>
        <v>0.53</v>
      </c>
      <c r="BA77" s="32">
        <v>1.21</v>
      </c>
      <c r="BB77" s="32">
        <v>80</v>
      </c>
      <c r="BC77" s="54">
        <f t="shared" si="151"/>
        <v>28736.091082236948</v>
      </c>
      <c r="BD77" s="87">
        <f t="shared" si="152"/>
        <v>139.5599398773561</v>
      </c>
      <c r="BE77" s="87">
        <f t="shared" si="153"/>
        <v>139.5599398773561</v>
      </c>
      <c r="BF77" s="57">
        <f t="shared" si="154"/>
        <v>359.1198797547122</v>
      </c>
      <c r="BG77" s="4"/>
      <c r="BH77" s="8">
        <f t="shared" si="155"/>
        <v>2</v>
      </c>
      <c r="BI77" s="8">
        <f t="shared" si="156"/>
        <v>1</v>
      </c>
      <c r="BJ77" s="13">
        <f t="shared" si="157"/>
        <v>68957291.666666672</v>
      </c>
      <c r="BK77" s="12">
        <f t="shared" si="158"/>
        <v>105</v>
      </c>
      <c r="BL77" s="12">
        <f t="shared" si="182"/>
        <v>52.5</v>
      </c>
      <c r="BM77" s="12">
        <f t="shared" si="159"/>
        <v>17.5</v>
      </c>
      <c r="BN77" s="12">
        <f t="shared" si="160"/>
        <v>52.5</v>
      </c>
      <c r="BO77" s="12">
        <f t="shared" si="161"/>
        <v>87.5</v>
      </c>
      <c r="BP77" s="12">
        <f t="shared" si="162"/>
        <v>0</v>
      </c>
      <c r="BQ77" s="12">
        <f t="shared" si="163"/>
        <v>0</v>
      </c>
      <c r="BR77" s="92">
        <f t="shared" si="164"/>
        <v>814625000</v>
      </c>
      <c r="BS77" s="95">
        <f t="shared" si="183"/>
        <v>883582291.66666663</v>
      </c>
      <c r="BT77" s="98">
        <f t="shared" si="165"/>
        <v>1009820583333.3333</v>
      </c>
      <c r="BU77" s="95">
        <f t="shared" si="166"/>
        <v>665000</v>
      </c>
      <c r="BV77" s="98">
        <f t="shared" si="167"/>
        <v>201880000</v>
      </c>
      <c r="BW77" s="5"/>
      <c r="BX77" s="95">
        <f t="shared" si="168"/>
        <v>306134150488.52795</v>
      </c>
      <c r="BY77" s="98">
        <f t="shared" si="169"/>
        <v>230402093.83425692</v>
      </c>
      <c r="BZ77" s="90">
        <f t="shared" si="170"/>
        <v>1</v>
      </c>
      <c r="CA77" s="87">
        <f t="shared" si="171"/>
        <v>93.273274549406523</v>
      </c>
      <c r="CB77" s="87">
        <f t="shared" si="172"/>
        <v>81.726725450593477</v>
      </c>
      <c r="CC77" s="43">
        <f t="shared" si="173"/>
        <v>4611.2062503778443</v>
      </c>
      <c r="CD77" s="11">
        <f t="shared" si="174"/>
        <v>-3.778441168833524E-7</v>
      </c>
      <c r="CE77" s="1"/>
      <c r="CF77" s="95">
        <f t="shared" si="175"/>
        <v>317311966336.72638</v>
      </c>
      <c r="CG77" s="98">
        <f t="shared" si="176"/>
        <v>238814720.03688362</v>
      </c>
      <c r="CH77" s="105">
        <f t="shared" si="177"/>
        <v>1</v>
      </c>
      <c r="CI77" s="87">
        <f t="shared" si="178"/>
        <v>96.678943223770233</v>
      </c>
      <c r="CJ77" s="87">
        <f t="shared" si="179"/>
        <v>78.321056776229767</v>
      </c>
      <c r="CK77" s="98">
        <f t="shared" si="180"/>
        <v>4679002554443.334</v>
      </c>
      <c r="CL77" s="93"/>
    </row>
    <row r="78" spans="1:90" ht="34.9" customHeight="1">
      <c r="A78" s="20"/>
      <c r="B78" s="200"/>
      <c r="C78" s="207"/>
      <c r="D78" s="32" t="s">
        <v>46</v>
      </c>
      <c r="E78" s="33" t="s">
        <v>51</v>
      </c>
      <c r="F78" s="35">
        <v>2025</v>
      </c>
      <c r="G78" s="1"/>
      <c r="H78" s="37" t="s">
        <v>149</v>
      </c>
      <c r="I78" s="32" t="str">
        <f t="shared" si="186"/>
        <v>Glue</v>
      </c>
      <c r="J78" s="32" t="s">
        <v>70</v>
      </c>
      <c r="K78" s="32" t="s">
        <v>72</v>
      </c>
      <c r="L78" s="38" t="s">
        <v>66</v>
      </c>
      <c r="M78" s="38" t="s">
        <v>265</v>
      </c>
      <c r="N78" s="41" t="s">
        <v>67</v>
      </c>
      <c r="O78" s="41" t="s">
        <v>270</v>
      </c>
      <c r="P78" s="2"/>
      <c r="Q78" s="50">
        <f>((27100*(AE78^3) / (48*8)))/1000^3</f>
        <v>5228.6062499999998</v>
      </c>
      <c r="R78" s="54">
        <f t="shared" si="58"/>
        <v>4774.3091732436487</v>
      </c>
      <c r="S78" s="57">
        <v>481.87691880638965</v>
      </c>
      <c r="T78" s="54">
        <f t="shared" si="145"/>
        <v>359.1198797547122</v>
      </c>
      <c r="U78" s="3" t="s">
        <v>75</v>
      </c>
      <c r="V78" s="28" t="s">
        <v>61</v>
      </c>
      <c r="W78" s="28">
        <f t="shared" si="184"/>
        <v>3</v>
      </c>
      <c r="X78" s="28" t="s">
        <v>14</v>
      </c>
      <c r="Y78" s="32">
        <v>35</v>
      </c>
      <c r="Z78" s="32">
        <v>9500</v>
      </c>
      <c r="AA78" s="54">
        <f t="shared" si="187"/>
        <v>593.75</v>
      </c>
      <c r="AB78" s="32">
        <v>35</v>
      </c>
      <c r="AC78" s="54">
        <f t="shared" si="73"/>
        <v>300</v>
      </c>
      <c r="AD78" s="32">
        <f t="shared" si="188"/>
        <v>35</v>
      </c>
      <c r="AE78" s="32">
        <v>4200</v>
      </c>
      <c r="AF78" s="1"/>
      <c r="AG78" s="28" t="s">
        <v>72</v>
      </c>
      <c r="AH78" s="32" t="s">
        <v>257</v>
      </c>
      <c r="AI78" s="32">
        <v>245</v>
      </c>
      <c r="AJ78" s="32">
        <v>80</v>
      </c>
      <c r="AK78" s="32">
        <v>10300</v>
      </c>
      <c r="AL78" s="1"/>
      <c r="AM78" s="64" t="s">
        <v>20</v>
      </c>
      <c r="AN78" s="28">
        <v>90</v>
      </c>
      <c r="AO78" s="32">
        <v>300</v>
      </c>
      <c r="AP78" s="67" t="s">
        <v>14</v>
      </c>
      <c r="AQ78" s="1"/>
      <c r="AR78" s="50">
        <f t="shared" si="189"/>
        <v>460</v>
      </c>
      <c r="AS78" s="54">
        <f t="shared" si="190"/>
        <v>460</v>
      </c>
      <c r="AT78" s="54">
        <f t="shared" si="185"/>
        <v>1000</v>
      </c>
      <c r="AU78" s="1"/>
      <c r="AV78" s="78">
        <f t="shared" si="146"/>
        <v>0.10952380952380952</v>
      </c>
      <c r="AW78" s="81">
        <f t="shared" si="147"/>
        <v>0.10952380952380952</v>
      </c>
      <c r="AX78" s="84">
        <f t="shared" si="148"/>
        <v>23.141630435987377</v>
      </c>
      <c r="AY78" s="87">
        <f t="shared" si="149"/>
        <v>12</v>
      </c>
      <c r="AZ78" s="90">
        <f t="shared" si="150"/>
        <v>0.53</v>
      </c>
      <c r="BA78" s="32">
        <v>1.21</v>
      </c>
      <c r="BB78" s="32">
        <v>80</v>
      </c>
      <c r="BC78" s="54">
        <f t="shared" si="151"/>
        <v>28736.091082236948</v>
      </c>
      <c r="BD78" s="87">
        <f t="shared" si="152"/>
        <v>139.5599398773561</v>
      </c>
      <c r="BE78" s="87">
        <f t="shared" si="153"/>
        <v>139.5599398773561</v>
      </c>
      <c r="BF78" s="57">
        <f t="shared" si="154"/>
        <v>359.1198797547122</v>
      </c>
      <c r="BG78" s="4"/>
      <c r="BH78" s="8">
        <f t="shared" si="155"/>
        <v>2</v>
      </c>
      <c r="BI78" s="8">
        <f t="shared" si="156"/>
        <v>1</v>
      </c>
      <c r="BJ78" s="13">
        <f t="shared" si="157"/>
        <v>68957291.666666672</v>
      </c>
      <c r="BK78" s="12">
        <f t="shared" si="158"/>
        <v>105</v>
      </c>
      <c r="BL78" s="12">
        <f t="shared" si="182"/>
        <v>52.5</v>
      </c>
      <c r="BM78" s="12">
        <f t="shared" si="159"/>
        <v>17.5</v>
      </c>
      <c r="BN78" s="12">
        <f t="shared" si="160"/>
        <v>52.5</v>
      </c>
      <c r="BO78" s="12">
        <f t="shared" si="161"/>
        <v>87.5</v>
      </c>
      <c r="BP78" s="12">
        <f t="shared" si="162"/>
        <v>0</v>
      </c>
      <c r="BQ78" s="12">
        <f t="shared" si="163"/>
        <v>0</v>
      </c>
      <c r="BR78" s="92">
        <f t="shared" si="164"/>
        <v>814625000</v>
      </c>
      <c r="BS78" s="95">
        <f t="shared" si="183"/>
        <v>883582291.66666663</v>
      </c>
      <c r="BT78" s="98">
        <f t="shared" si="165"/>
        <v>1009820583333.3333</v>
      </c>
      <c r="BU78" s="95">
        <f t="shared" si="166"/>
        <v>665000</v>
      </c>
      <c r="BV78" s="98">
        <f t="shared" si="167"/>
        <v>201880000</v>
      </c>
      <c r="BW78" s="5"/>
      <c r="BX78" s="95">
        <f t="shared" si="168"/>
        <v>425777912220.22205</v>
      </c>
      <c r="BY78" s="98">
        <f t="shared" si="169"/>
        <v>320448151.00624913</v>
      </c>
      <c r="BZ78" s="90">
        <f t="shared" si="170"/>
        <v>1</v>
      </c>
      <c r="CA78" s="87">
        <f t="shared" si="171"/>
        <v>107.3624431653937</v>
      </c>
      <c r="CB78" s="87">
        <f t="shared" si="172"/>
        <v>67.637556834606301</v>
      </c>
      <c r="CC78" s="43">
        <f t="shared" si="173"/>
        <v>5228.6062501437491</v>
      </c>
      <c r="CD78" s="11">
        <f t="shared" si="174"/>
        <v>-1.437492755940184E-7</v>
      </c>
      <c r="CE78" s="1"/>
      <c r="CF78" s="95">
        <f t="shared" si="175"/>
        <v>317311966336.72638</v>
      </c>
      <c r="CG78" s="98">
        <f t="shared" si="176"/>
        <v>238814720.03688362</v>
      </c>
      <c r="CH78" s="105">
        <f t="shared" si="177"/>
        <v>1</v>
      </c>
      <c r="CI78" s="87">
        <f t="shared" si="178"/>
        <v>80.01210718959436</v>
      </c>
      <c r="CJ78" s="87">
        <f t="shared" si="179"/>
        <v>94.98789281040564</v>
      </c>
      <c r="CK78" s="98">
        <f t="shared" si="180"/>
        <v>4774309173243.6484</v>
      </c>
      <c r="CL78" s="93"/>
    </row>
    <row r="79" spans="1:90" ht="34.9" customHeight="1">
      <c r="A79" s="20"/>
      <c r="B79" s="200"/>
      <c r="C79" s="208"/>
      <c r="D79" s="36" t="s">
        <v>46</v>
      </c>
      <c r="E79" s="34" t="s">
        <v>52</v>
      </c>
      <c r="F79" s="121">
        <v>2025</v>
      </c>
      <c r="G79" s="1"/>
      <c r="H79" s="114" t="s">
        <v>149</v>
      </c>
      <c r="I79" s="36" t="str">
        <f t="shared" si="186"/>
        <v>Glue</v>
      </c>
      <c r="J79" s="36" t="s">
        <v>70</v>
      </c>
      <c r="K79" s="36" t="s">
        <v>72</v>
      </c>
      <c r="L79" s="39" t="s">
        <v>66</v>
      </c>
      <c r="M79" s="39" t="s">
        <v>265</v>
      </c>
      <c r="N79" s="42" t="s">
        <v>67</v>
      </c>
      <c r="O79" s="42" t="s">
        <v>270</v>
      </c>
      <c r="P79" s="2"/>
      <c r="Q79" s="51">
        <f>((24900*(AE79^3) / (48*8)))/1000^3</f>
        <v>4804.1437500000002</v>
      </c>
      <c r="R79" s="55">
        <f t="shared" si="58"/>
        <v>4682.8726667801639</v>
      </c>
      <c r="S79" s="58">
        <v>384.44833713691912</v>
      </c>
      <c r="T79" s="55">
        <f t="shared" si="145"/>
        <v>359.1198797547122</v>
      </c>
      <c r="U79" s="3" t="s">
        <v>75</v>
      </c>
      <c r="V79" s="29" t="s">
        <v>61</v>
      </c>
      <c r="W79" s="29">
        <f t="shared" si="184"/>
        <v>3</v>
      </c>
      <c r="X79" s="29" t="s">
        <v>14</v>
      </c>
      <c r="Y79" s="36">
        <v>35</v>
      </c>
      <c r="Z79" s="36">
        <v>9500</v>
      </c>
      <c r="AA79" s="55">
        <f t="shared" si="187"/>
        <v>593.75</v>
      </c>
      <c r="AB79" s="36">
        <v>35</v>
      </c>
      <c r="AC79" s="55">
        <f t="shared" si="73"/>
        <v>300</v>
      </c>
      <c r="AD79" s="36">
        <f t="shared" si="188"/>
        <v>35</v>
      </c>
      <c r="AE79" s="36">
        <v>4200</v>
      </c>
      <c r="AF79" s="1"/>
      <c r="AG79" s="29" t="s">
        <v>72</v>
      </c>
      <c r="AH79" s="36" t="s">
        <v>257</v>
      </c>
      <c r="AI79" s="36">
        <v>245</v>
      </c>
      <c r="AJ79" s="36">
        <v>80</v>
      </c>
      <c r="AK79" s="36">
        <v>10300</v>
      </c>
      <c r="AL79" s="1"/>
      <c r="AM79" s="66" t="s">
        <v>20</v>
      </c>
      <c r="AN79" s="29">
        <v>90</v>
      </c>
      <c r="AO79" s="36">
        <v>300</v>
      </c>
      <c r="AP79" s="68" t="s">
        <v>14</v>
      </c>
      <c r="AQ79" s="1"/>
      <c r="AR79" s="51">
        <f t="shared" si="189"/>
        <v>460</v>
      </c>
      <c r="AS79" s="55">
        <f t="shared" si="190"/>
        <v>460</v>
      </c>
      <c r="AT79" s="55">
        <f t="shared" si="185"/>
        <v>1000</v>
      </c>
      <c r="AU79" s="1"/>
      <c r="AV79" s="79">
        <f t="shared" si="146"/>
        <v>0.10952380952380952</v>
      </c>
      <c r="AW79" s="82">
        <f t="shared" si="147"/>
        <v>0.10952380952380952</v>
      </c>
      <c r="AX79" s="85">
        <f t="shared" si="148"/>
        <v>23.141630435987377</v>
      </c>
      <c r="AY79" s="88">
        <f t="shared" si="149"/>
        <v>12</v>
      </c>
      <c r="AZ79" s="91">
        <f t="shared" si="150"/>
        <v>0.53</v>
      </c>
      <c r="BA79" s="36">
        <v>1.21</v>
      </c>
      <c r="BB79" s="36">
        <v>80</v>
      </c>
      <c r="BC79" s="55">
        <f t="shared" si="151"/>
        <v>28736.091082236948</v>
      </c>
      <c r="BD79" s="88">
        <f t="shared" si="152"/>
        <v>139.5599398773561</v>
      </c>
      <c r="BE79" s="88">
        <f t="shared" si="153"/>
        <v>139.5599398773561</v>
      </c>
      <c r="BF79" s="58">
        <f t="shared" si="154"/>
        <v>359.1198797547122</v>
      </c>
      <c r="BG79" s="4"/>
      <c r="BH79" s="115">
        <f t="shared" si="155"/>
        <v>2</v>
      </c>
      <c r="BI79" s="115">
        <f t="shared" si="156"/>
        <v>1</v>
      </c>
      <c r="BJ79" s="116">
        <f t="shared" si="157"/>
        <v>68957291.666666672</v>
      </c>
      <c r="BK79" s="117">
        <f t="shared" si="158"/>
        <v>105</v>
      </c>
      <c r="BL79" s="117">
        <f t="shared" si="182"/>
        <v>52.5</v>
      </c>
      <c r="BM79" s="117">
        <f t="shared" si="159"/>
        <v>17.5</v>
      </c>
      <c r="BN79" s="117">
        <f t="shared" si="160"/>
        <v>52.5</v>
      </c>
      <c r="BO79" s="117">
        <f t="shared" si="161"/>
        <v>87.5</v>
      </c>
      <c r="BP79" s="117">
        <f t="shared" si="162"/>
        <v>0</v>
      </c>
      <c r="BQ79" s="117">
        <f t="shared" si="163"/>
        <v>0</v>
      </c>
      <c r="BR79" s="118">
        <f t="shared" si="164"/>
        <v>814625000</v>
      </c>
      <c r="BS79" s="96">
        <f t="shared" si="183"/>
        <v>883582291.66666663</v>
      </c>
      <c r="BT79" s="99">
        <f t="shared" si="165"/>
        <v>1009820583333.3333</v>
      </c>
      <c r="BU79" s="96">
        <f t="shared" si="166"/>
        <v>665000</v>
      </c>
      <c r="BV79" s="99">
        <f t="shared" si="167"/>
        <v>201880000</v>
      </c>
      <c r="BW79" s="5"/>
      <c r="BX79" s="96">
        <f t="shared" si="168"/>
        <v>339691742754.87823</v>
      </c>
      <c r="BY79" s="99">
        <f t="shared" si="169"/>
        <v>255658144.19605121</v>
      </c>
      <c r="BZ79" s="91">
        <f t="shared" si="170"/>
        <v>1</v>
      </c>
      <c r="CA79" s="88">
        <f t="shared" si="171"/>
        <v>97.784579934691024</v>
      </c>
      <c r="CB79" s="88">
        <f t="shared" si="172"/>
        <v>77.215420065308976</v>
      </c>
      <c r="CC79" s="119">
        <f t="shared" si="173"/>
        <v>4804.1437506009106</v>
      </c>
      <c r="CD79" s="120">
        <f t="shared" si="174"/>
        <v>-6.0091042541898787E-7</v>
      </c>
      <c r="CE79" s="1"/>
      <c r="CF79" s="96">
        <f t="shared" si="175"/>
        <v>317311966336.72638</v>
      </c>
      <c r="CG79" s="99">
        <f t="shared" si="176"/>
        <v>238814720.03688362</v>
      </c>
      <c r="CH79" s="106">
        <f t="shared" si="177"/>
        <v>1</v>
      </c>
      <c r="CI79" s="88">
        <f t="shared" si="178"/>
        <v>91.342277221255827</v>
      </c>
      <c r="CJ79" s="88">
        <f t="shared" si="179"/>
        <v>83.657722778744173</v>
      </c>
      <c r="CK79" s="99">
        <f t="shared" si="180"/>
        <v>4682872666780.1641</v>
      </c>
      <c r="CL79" s="93"/>
    </row>
    <row r="80" spans="1:90" ht="34.9" customHeight="1">
      <c r="A80" s="20"/>
      <c r="B80" s="200" t="s">
        <v>293</v>
      </c>
      <c r="C80" s="201" t="s">
        <v>311</v>
      </c>
      <c r="D80" s="31" t="s">
        <v>46</v>
      </c>
      <c r="E80" s="107" t="s">
        <v>259</v>
      </c>
      <c r="F80" s="108">
        <v>2026</v>
      </c>
      <c r="G80" s="1"/>
      <c r="H80" s="109" t="s">
        <v>149</v>
      </c>
      <c r="I80" s="31" t="s">
        <v>263</v>
      </c>
      <c r="J80" s="31" t="s">
        <v>70</v>
      </c>
      <c r="K80" s="31" t="s">
        <v>72</v>
      </c>
      <c r="L80" s="110" t="s">
        <v>65</v>
      </c>
      <c r="M80" s="110" t="s">
        <v>264</v>
      </c>
      <c r="N80" s="145" t="s">
        <v>67</v>
      </c>
      <c r="O80" s="145" t="s">
        <v>270</v>
      </c>
      <c r="P80" s="2"/>
      <c r="Q80" s="49">
        <v>5670</v>
      </c>
      <c r="R80" s="53">
        <f t="shared" si="58"/>
        <v>4972.5680349772711</v>
      </c>
      <c r="S80" s="56">
        <v>607.79028744472282</v>
      </c>
      <c r="T80" s="53">
        <f t="shared" ref="T80:T83" si="191">BF80</f>
        <v>359.1198797547122</v>
      </c>
      <c r="U80" s="3" t="s">
        <v>75</v>
      </c>
      <c r="V80" s="27" t="s">
        <v>61</v>
      </c>
      <c r="W80" s="27">
        <f t="shared" si="184"/>
        <v>3</v>
      </c>
      <c r="X80" s="27" t="s">
        <v>14</v>
      </c>
      <c r="Y80" s="31">
        <v>35</v>
      </c>
      <c r="Z80" s="31">
        <v>9500</v>
      </c>
      <c r="AA80" s="53">
        <f t="shared" ref="AA80" si="192">Z80/16</f>
        <v>593.75</v>
      </c>
      <c r="AB80" s="31">
        <v>35</v>
      </c>
      <c r="AC80" s="53">
        <f t="shared" si="73"/>
        <v>300</v>
      </c>
      <c r="AD80" s="31">
        <f t="shared" ref="AD80" si="193">MAX(Y80,AB80)</f>
        <v>35</v>
      </c>
      <c r="AE80" s="31">
        <v>4200</v>
      </c>
      <c r="AF80" s="1"/>
      <c r="AG80" s="27" t="s">
        <v>72</v>
      </c>
      <c r="AH80" s="31" t="s">
        <v>257</v>
      </c>
      <c r="AI80" s="31">
        <v>245</v>
      </c>
      <c r="AJ80" s="31">
        <v>80</v>
      </c>
      <c r="AK80" s="31">
        <v>10300</v>
      </c>
      <c r="AL80" s="1"/>
      <c r="AM80" s="63" t="s">
        <v>20</v>
      </c>
      <c r="AN80" s="27">
        <v>90</v>
      </c>
      <c r="AO80" s="31">
        <v>300</v>
      </c>
      <c r="AP80" s="112" t="s">
        <v>14</v>
      </c>
      <c r="AQ80" s="1"/>
      <c r="AR80" s="49">
        <f t="shared" si="189"/>
        <v>460</v>
      </c>
      <c r="AS80" s="53">
        <f t="shared" ref="AS80" si="194">AR80</f>
        <v>460</v>
      </c>
      <c r="AT80" s="53">
        <f t="shared" ref="AT80" si="195">AR80+AJ80+AS80</f>
        <v>1000</v>
      </c>
      <c r="AU80" s="1"/>
      <c r="AV80" s="77">
        <f t="shared" ref="AV80:AV83" si="196">AR80/AE80</f>
        <v>0.10952380952380952</v>
      </c>
      <c r="AW80" s="80">
        <f t="shared" ref="AW80:AW83" si="197">AS80/AE80</f>
        <v>0.10952380952380952</v>
      </c>
      <c r="AX80" s="83">
        <f t="shared" ref="AX80:AX83" si="198">BU80/BC80</f>
        <v>23.141630435987377</v>
      </c>
      <c r="AY80" s="86">
        <f t="shared" si="149"/>
        <v>12</v>
      </c>
      <c r="AZ80" s="89">
        <f t="shared" si="150"/>
        <v>0.53</v>
      </c>
      <c r="BA80" s="31">
        <v>1.21</v>
      </c>
      <c r="BB80" s="31">
        <v>80</v>
      </c>
      <c r="BC80" s="53">
        <f t="shared" si="151"/>
        <v>28736.091082236948</v>
      </c>
      <c r="BD80" s="86">
        <f t="shared" si="152"/>
        <v>139.5599398773561</v>
      </c>
      <c r="BE80" s="86">
        <f t="shared" si="153"/>
        <v>139.5599398773561</v>
      </c>
      <c r="BF80" s="56">
        <f t="shared" si="154"/>
        <v>359.1198797547122</v>
      </c>
      <c r="BG80" s="4"/>
      <c r="BH80" s="23">
        <f t="shared" si="155"/>
        <v>2</v>
      </c>
      <c r="BI80" s="23">
        <f t="shared" si="156"/>
        <v>1</v>
      </c>
      <c r="BJ80" s="30">
        <f t="shared" si="157"/>
        <v>68957291.666666672</v>
      </c>
      <c r="BK80" s="75">
        <f t="shared" si="158"/>
        <v>105</v>
      </c>
      <c r="BL80" s="75">
        <f t="shared" ref="BL80:BL83" si="199">BK80/2</f>
        <v>52.5</v>
      </c>
      <c r="BM80" s="75">
        <f t="shared" si="159"/>
        <v>17.5</v>
      </c>
      <c r="BN80" s="75">
        <f t="shared" si="160"/>
        <v>52.5</v>
      </c>
      <c r="BO80" s="75">
        <f t="shared" si="161"/>
        <v>87.5</v>
      </c>
      <c r="BP80" s="75">
        <f t="shared" si="162"/>
        <v>0</v>
      </c>
      <c r="BQ80" s="75">
        <f t="shared" si="163"/>
        <v>0</v>
      </c>
      <c r="BR80" s="113">
        <f t="shared" si="164"/>
        <v>814625000</v>
      </c>
      <c r="BS80" s="94">
        <f t="shared" ref="BS80:BS83" si="200">(BJ80+BR80)</f>
        <v>883582291.66666663</v>
      </c>
      <c r="BT80" s="97">
        <f t="shared" si="165"/>
        <v>1009820583333.3333</v>
      </c>
      <c r="BU80" s="94">
        <f t="shared" si="166"/>
        <v>665000</v>
      </c>
      <c r="BV80" s="97">
        <f t="shared" si="167"/>
        <v>201880000</v>
      </c>
      <c r="BW80" s="5"/>
      <c r="BX80" s="94">
        <f t="shared" si="168"/>
        <v>537032735033.15021</v>
      </c>
      <c r="BY80" s="97">
        <f t="shared" si="169"/>
        <v>404180541.15074068</v>
      </c>
      <c r="BZ80" s="89">
        <f t="shared" si="170"/>
        <v>1</v>
      </c>
      <c r="CA80" s="86">
        <f t="shared" si="171"/>
        <v>116.70714375676063</v>
      </c>
      <c r="CB80" s="86">
        <f t="shared" si="172"/>
        <v>58.29285624323937</v>
      </c>
      <c r="CC80" s="46">
        <f t="shared" ref="CC80:CC83" si="201">(BT80 + BV80*CA80^2 + BX80 + BZ80*BY80*CB80^2)/1000^3</f>
        <v>5670.0000001490798</v>
      </c>
      <c r="CD80" s="76">
        <f t="shared" si="174"/>
        <v>-1.4907982404110953E-7</v>
      </c>
      <c r="CE80" s="1"/>
      <c r="CF80" s="94">
        <f t="shared" ref="CF80:CF83" si="202">BF80*BS80</f>
        <v>317311966336.72638</v>
      </c>
      <c r="CG80" s="97">
        <f t="shared" ref="CG80:CG83" si="203">BF80*BU80</f>
        <v>238814720.03688362</v>
      </c>
      <c r="CH80" s="104">
        <f t="shared" si="177"/>
        <v>1</v>
      </c>
      <c r="CI80" s="86">
        <f t="shared" si="178"/>
        <v>68.957757796114137</v>
      </c>
      <c r="CJ80" s="86">
        <f t="shared" si="179"/>
        <v>106.04224220388586</v>
      </c>
      <c r="CK80" s="97">
        <f t="shared" ref="CK80:CK83" si="204">BT80 + BV80*CI80^2 + CF80 + CH80*CG80*CJ80^2</f>
        <v>4972568034977.2715</v>
      </c>
      <c r="CL80" s="93"/>
    </row>
    <row r="81" spans="1:90" ht="34.9" customHeight="1">
      <c r="A81" s="20"/>
      <c r="B81" s="200"/>
      <c r="C81" s="201"/>
      <c r="D81" s="32" t="s">
        <v>46</v>
      </c>
      <c r="E81" s="33" t="s">
        <v>260</v>
      </c>
      <c r="F81" s="35">
        <v>2026</v>
      </c>
      <c r="G81" s="1"/>
      <c r="H81" s="37" t="s">
        <v>149</v>
      </c>
      <c r="I81" s="32" t="s">
        <v>263</v>
      </c>
      <c r="J81" s="32" t="s">
        <v>70</v>
      </c>
      <c r="K81" s="32" t="s">
        <v>72</v>
      </c>
      <c r="L81" s="38" t="s">
        <v>65</v>
      </c>
      <c r="M81" s="38" t="s">
        <v>264</v>
      </c>
      <c r="N81" s="41" t="s">
        <v>67</v>
      </c>
      <c r="O81" s="41" t="s">
        <v>270</v>
      </c>
      <c r="P81" s="2"/>
      <c r="Q81" s="50">
        <v>5920</v>
      </c>
      <c r="R81" s="54">
        <f t="shared" si="58"/>
        <v>5121.4776410648519</v>
      </c>
      <c r="S81" s="57">
        <v>692.5042098191301</v>
      </c>
      <c r="T81" s="54">
        <f t="shared" si="191"/>
        <v>359.1198797547122</v>
      </c>
      <c r="U81" s="3" t="s">
        <v>75</v>
      </c>
      <c r="V81" s="28" t="s">
        <v>61</v>
      </c>
      <c r="W81" s="28">
        <f t="shared" si="184"/>
        <v>3</v>
      </c>
      <c r="X81" s="28" t="s">
        <v>14</v>
      </c>
      <c r="Y81" s="32">
        <v>35</v>
      </c>
      <c r="Z81" s="32">
        <v>9500</v>
      </c>
      <c r="AA81" s="54">
        <f t="shared" ref="AA81:AA83" si="205">Z81/16</f>
        <v>593.75</v>
      </c>
      <c r="AB81" s="32">
        <v>35</v>
      </c>
      <c r="AC81" s="54">
        <f t="shared" si="73"/>
        <v>300</v>
      </c>
      <c r="AD81" s="32">
        <f t="shared" ref="AD81:AD83" si="206">MAX(Y81,AB81)</f>
        <v>35</v>
      </c>
      <c r="AE81" s="32">
        <v>4200</v>
      </c>
      <c r="AF81" s="1"/>
      <c r="AG81" s="28" t="s">
        <v>72</v>
      </c>
      <c r="AH81" s="32" t="s">
        <v>257</v>
      </c>
      <c r="AI81" s="32">
        <v>245</v>
      </c>
      <c r="AJ81" s="32">
        <v>80</v>
      </c>
      <c r="AK81" s="32">
        <v>10300</v>
      </c>
      <c r="AL81" s="1"/>
      <c r="AM81" s="64" t="s">
        <v>20</v>
      </c>
      <c r="AN81" s="28">
        <v>90</v>
      </c>
      <c r="AO81" s="32">
        <v>300</v>
      </c>
      <c r="AP81" s="67" t="s">
        <v>14</v>
      </c>
      <c r="AQ81" s="1"/>
      <c r="AR81" s="50">
        <f t="shared" si="189"/>
        <v>460</v>
      </c>
      <c r="AS81" s="54">
        <f t="shared" ref="AS81" si="207">AR81</f>
        <v>460</v>
      </c>
      <c r="AT81" s="54">
        <f t="shared" ref="AT81:AT83" si="208">AR81+AJ81+AS81</f>
        <v>1000</v>
      </c>
      <c r="AU81" s="1"/>
      <c r="AV81" s="78">
        <f t="shared" si="196"/>
        <v>0.10952380952380952</v>
      </c>
      <c r="AW81" s="81">
        <f t="shared" si="197"/>
        <v>0.10952380952380952</v>
      </c>
      <c r="AX81" s="84">
        <f t="shared" si="198"/>
        <v>23.141630435987377</v>
      </c>
      <c r="AY81" s="87">
        <f t="shared" si="149"/>
        <v>12</v>
      </c>
      <c r="AZ81" s="90">
        <f t="shared" si="150"/>
        <v>0.53</v>
      </c>
      <c r="BA81" s="32">
        <v>1.21</v>
      </c>
      <c r="BB81" s="32">
        <v>80</v>
      </c>
      <c r="BC81" s="54">
        <f t="shared" si="151"/>
        <v>28736.091082236948</v>
      </c>
      <c r="BD81" s="87">
        <f t="shared" si="152"/>
        <v>139.5599398773561</v>
      </c>
      <c r="BE81" s="87">
        <f t="shared" si="153"/>
        <v>139.5599398773561</v>
      </c>
      <c r="BF81" s="57">
        <f t="shared" si="154"/>
        <v>359.1198797547122</v>
      </c>
      <c r="BG81" s="4"/>
      <c r="BH81" s="8">
        <f t="shared" si="155"/>
        <v>2</v>
      </c>
      <c r="BI81" s="8">
        <f t="shared" si="156"/>
        <v>1</v>
      </c>
      <c r="BJ81" s="13">
        <f t="shared" si="157"/>
        <v>68957291.666666672</v>
      </c>
      <c r="BK81" s="12">
        <f t="shared" si="158"/>
        <v>105</v>
      </c>
      <c r="BL81" s="12">
        <f t="shared" si="199"/>
        <v>52.5</v>
      </c>
      <c r="BM81" s="12">
        <f t="shared" si="159"/>
        <v>17.5</v>
      </c>
      <c r="BN81" s="12">
        <f t="shared" si="160"/>
        <v>52.5</v>
      </c>
      <c r="BO81" s="12">
        <f t="shared" si="161"/>
        <v>87.5</v>
      </c>
      <c r="BP81" s="12">
        <f t="shared" si="162"/>
        <v>0</v>
      </c>
      <c r="BQ81" s="12">
        <f t="shared" si="163"/>
        <v>0</v>
      </c>
      <c r="BR81" s="92">
        <f t="shared" si="164"/>
        <v>814625000</v>
      </c>
      <c r="BS81" s="95">
        <f t="shared" si="200"/>
        <v>883582291.66666663</v>
      </c>
      <c r="BT81" s="98">
        <f t="shared" si="165"/>
        <v>1009820583333.3333</v>
      </c>
      <c r="BU81" s="95">
        <f t="shared" si="166"/>
        <v>665000</v>
      </c>
      <c r="BV81" s="98">
        <f t="shared" si="167"/>
        <v>201880000</v>
      </c>
      <c r="BW81" s="5"/>
      <c r="BX81" s="95">
        <f t="shared" si="168"/>
        <v>611884456700.80115</v>
      </c>
      <c r="BY81" s="98">
        <f t="shared" si="169"/>
        <v>460515299.5297215</v>
      </c>
      <c r="BZ81" s="90">
        <f t="shared" si="170"/>
        <v>1</v>
      </c>
      <c r="CA81" s="87">
        <f t="shared" si="171"/>
        <v>121.66477853166771</v>
      </c>
      <c r="CB81" s="87">
        <f t="shared" si="172"/>
        <v>53.335221468332293</v>
      </c>
      <c r="CC81" s="43">
        <f t="shared" si="201"/>
        <v>5920.0000007794215</v>
      </c>
      <c r="CD81" s="11">
        <f t="shared" si="174"/>
        <v>-7.7942149800946936E-7</v>
      </c>
      <c r="CE81" s="1"/>
      <c r="CF81" s="95">
        <f t="shared" si="202"/>
        <v>317311966336.72638</v>
      </c>
      <c r="CG81" s="98">
        <f t="shared" si="203"/>
        <v>238814720.03688362</v>
      </c>
      <c r="CH81" s="105">
        <f t="shared" si="177"/>
        <v>1</v>
      </c>
      <c r="CI81" s="87">
        <f t="shared" si="178"/>
        <v>63.093104730854776</v>
      </c>
      <c r="CJ81" s="87">
        <f t="shared" si="179"/>
        <v>111.90689526914522</v>
      </c>
      <c r="CK81" s="98">
        <f t="shared" si="204"/>
        <v>5121477641064.8516</v>
      </c>
      <c r="CL81" s="93"/>
    </row>
    <row r="82" spans="1:90" ht="34.9" customHeight="1">
      <c r="A82" s="20"/>
      <c r="B82" s="200"/>
      <c r="C82" s="201"/>
      <c r="D82" s="32" t="s">
        <v>46</v>
      </c>
      <c r="E82" s="33" t="s">
        <v>261</v>
      </c>
      <c r="F82" s="32">
        <v>2026</v>
      </c>
      <c r="G82" s="1"/>
      <c r="H82" s="28" t="s">
        <v>150</v>
      </c>
      <c r="I82" s="32" t="s">
        <v>263</v>
      </c>
      <c r="J82" s="32" t="s">
        <v>70</v>
      </c>
      <c r="K82" s="32" t="s">
        <v>72</v>
      </c>
      <c r="L82" s="38" t="s">
        <v>65</v>
      </c>
      <c r="M82" s="38" t="s">
        <v>264</v>
      </c>
      <c r="N82" s="41" t="s">
        <v>67</v>
      </c>
      <c r="O82" s="41" t="s">
        <v>270</v>
      </c>
      <c r="P82" s="2"/>
      <c r="Q82" s="50">
        <f>9650/2</f>
        <v>4825</v>
      </c>
      <c r="R82" s="54">
        <f t="shared" ref="R82:R83" si="209">CK82/1000^3</f>
        <v>4390.1706477494572</v>
      </c>
      <c r="S82" s="57">
        <v>388.77204200060146</v>
      </c>
      <c r="T82" s="54">
        <f t="shared" si="191"/>
        <v>298.52951329733258</v>
      </c>
      <c r="U82" s="3" t="s">
        <v>75</v>
      </c>
      <c r="V82" s="28" t="s">
        <v>61</v>
      </c>
      <c r="W82" s="28">
        <f t="shared" si="184"/>
        <v>3</v>
      </c>
      <c r="X82" s="28" t="s">
        <v>14</v>
      </c>
      <c r="Y82" s="32">
        <v>35</v>
      </c>
      <c r="Z82" s="32">
        <v>9500</v>
      </c>
      <c r="AA82" s="54">
        <f t="shared" si="205"/>
        <v>593.75</v>
      </c>
      <c r="AB82" s="32">
        <v>35</v>
      </c>
      <c r="AC82" s="54">
        <f t="shared" si="73"/>
        <v>300</v>
      </c>
      <c r="AD82" s="32">
        <f t="shared" si="206"/>
        <v>35</v>
      </c>
      <c r="AE82" s="32">
        <v>4200</v>
      </c>
      <c r="AF82" s="1"/>
      <c r="AG82" s="28" t="s">
        <v>72</v>
      </c>
      <c r="AH82" s="32" t="s">
        <v>257</v>
      </c>
      <c r="AI82" s="32">
        <v>245</v>
      </c>
      <c r="AJ82" s="32">
        <v>80</v>
      </c>
      <c r="AK82" s="32">
        <v>10300</v>
      </c>
      <c r="AL82" s="1"/>
      <c r="AM82" s="64" t="s">
        <v>20</v>
      </c>
      <c r="AN82" s="28">
        <v>90</v>
      </c>
      <c r="AO82" s="32">
        <v>300</v>
      </c>
      <c r="AP82" s="67" t="s">
        <v>14</v>
      </c>
      <c r="AQ82" s="1"/>
      <c r="AR82" s="28">
        <v>210</v>
      </c>
      <c r="AS82" s="32">
        <v>420</v>
      </c>
      <c r="AT82" s="54">
        <f t="shared" si="208"/>
        <v>710</v>
      </c>
      <c r="AU82" s="1"/>
      <c r="AV82" s="78">
        <f t="shared" si="196"/>
        <v>0.05</v>
      </c>
      <c r="AW82" s="81">
        <f t="shared" si="197"/>
        <v>0.1</v>
      </c>
      <c r="AX82" s="84">
        <f t="shared" si="198"/>
        <v>23.141630435987377</v>
      </c>
      <c r="AY82" s="87">
        <f t="shared" si="149"/>
        <v>12</v>
      </c>
      <c r="AZ82" s="90">
        <f t="shared" si="150"/>
        <v>0.53</v>
      </c>
      <c r="BA82" s="32">
        <v>1.21</v>
      </c>
      <c r="BB82" s="32">
        <v>80</v>
      </c>
      <c r="BC82" s="54">
        <f t="shared" si="151"/>
        <v>28736.091082236948</v>
      </c>
      <c r="BD82" s="87">
        <f t="shared" si="152"/>
        <v>84.613737023227827</v>
      </c>
      <c r="BE82" s="87">
        <f t="shared" si="153"/>
        <v>133.91577627410476</v>
      </c>
      <c r="BF82" s="57">
        <f t="shared" si="154"/>
        <v>298.52951329733258</v>
      </c>
      <c r="BG82" s="4"/>
      <c r="BH82" s="8">
        <f t="shared" si="155"/>
        <v>2</v>
      </c>
      <c r="BI82" s="8">
        <f t="shared" si="156"/>
        <v>1</v>
      </c>
      <c r="BJ82" s="13">
        <f t="shared" si="157"/>
        <v>68957291.666666672</v>
      </c>
      <c r="BK82" s="12">
        <f t="shared" si="158"/>
        <v>105</v>
      </c>
      <c r="BL82" s="12">
        <f t="shared" si="199"/>
        <v>52.5</v>
      </c>
      <c r="BM82" s="12">
        <f t="shared" si="159"/>
        <v>17.5</v>
      </c>
      <c r="BN82" s="12">
        <f t="shared" si="160"/>
        <v>52.5</v>
      </c>
      <c r="BO82" s="12">
        <f t="shared" si="161"/>
        <v>87.5</v>
      </c>
      <c r="BP82" s="12">
        <f t="shared" si="162"/>
        <v>0</v>
      </c>
      <c r="BQ82" s="12">
        <f t="shared" si="163"/>
        <v>0</v>
      </c>
      <c r="BR82" s="92">
        <f t="shared" si="164"/>
        <v>814625000</v>
      </c>
      <c r="BS82" s="95">
        <f t="shared" si="200"/>
        <v>883582291.66666663</v>
      </c>
      <c r="BT82" s="98">
        <f t="shared" si="165"/>
        <v>1009820583333.3333</v>
      </c>
      <c r="BU82" s="95">
        <f t="shared" si="166"/>
        <v>665000</v>
      </c>
      <c r="BV82" s="98">
        <f t="shared" si="167"/>
        <v>201880000</v>
      </c>
      <c r="BW82" s="5"/>
      <c r="BX82" s="95">
        <f t="shared" si="168"/>
        <v>343512091806.82098</v>
      </c>
      <c r="BY82" s="98">
        <f t="shared" si="169"/>
        <v>258533407.93039998</v>
      </c>
      <c r="BZ82" s="90">
        <f t="shared" si="170"/>
        <v>1</v>
      </c>
      <c r="CA82" s="87">
        <f t="shared" si="171"/>
        <v>98.266787214544735</v>
      </c>
      <c r="CB82" s="87">
        <f t="shared" si="172"/>
        <v>76.733212785455265</v>
      </c>
      <c r="CC82" s="43">
        <f t="shared" si="201"/>
        <v>4825.0000006428045</v>
      </c>
      <c r="CD82" s="11">
        <f t="shared" si="174"/>
        <v>-6.4280447986675426E-7</v>
      </c>
      <c r="CE82" s="1"/>
      <c r="CF82" s="95">
        <f t="shared" si="202"/>
        <v>263775391489.39175</v>
      </c>
      <c r="CG82" s="98">
        <f t="shared" si="203"/>
        <v>198522126.34272617</v>
      </c>
      <c r="CH82" s="105">
        <f t="shared" si="177"/>
        <v>1</v>
      </c>
      <c r="CI82" s="87">
        <f t="shared" si="178"/>
        <v>75.456907882293649</v>
      </c>
      <c r="CJ82" s="87">
        <f t="shared" si="179"/>
        <v>99.543092117706351</v>
      </c>
      <c r="CK82" s="98">
        <f t="shared" si="204"/>
        <v>4390170647749.457</v>
      </c>
      <c r="CL82" s="21"/>
    </row>
    <row r="83" spans="1:90" ht="34.9" customHeight="1">
      <c r="A83" s="20"/>
      <c r="B83" s="200"/>
      <c r="C83" s="201"/>
      <c r="D83" s="36" t="s">
        <v>46</v>
      </c>
      <c r="E83" s="34" t="s">
        <v>262</v>
      </c>
      <c r="F83" s="36">
        <v>2026</v>
      </c>
      <c r="G83" s="1"/>
      <c r="H83" s="29" t="s">
        <v>150</v>
      </c>
      <c r="I83" s="36" t="s">
        <v>263</v>
      </c>
      <c r="J83" s="36" t="s">
        <v>70</v>
      </c>
      <c r="K83" s="36" t="s">
        <v>72</v>
      </c>
      <c r="L83" s="39" t="s">
        <v>65</v>
      </c>
      <c r="M83" s="39" t="s">
        <v>264</v>
      </c>
      <c r="N83" s="42" t="s">
        <v>67</v>
      </c>
      <c r="O83" s="42" t="s">
        <v>270</v>
      </c>
      <c r="P83" s="2"/>
      <c r="Q83" s="51">
        <f>9910/2</f>
        <v>4955</v>
      </c>
      <c r="R83" s="55">
        <f t="shared" si="209"/>
        <v>4420.1491128303869</v>
      </c>
      <c r="S83" s="58">
        <v>416.74690757603912</v>
      </c>
      <c r="T83" s="55">
        <f t="shared" si="191"/>
        <v>298.52951329733258</v>
      </c>
      <c r="U83" s="3" t="s">
        <v>75</v>
      </c>
      <c r="V83" s="29" t="s">
        <v>61</v>
      </c>
      <c r="W83" s="29">
        <f t="shared" si="184"/>
        <v>3</v>
      </c>
      <c r="X83" s="29" t="s">
        <v>14</v>
      </c>
      <c r="Y83" s="36">
        <v>35</v>
      </c>
      <c r="Z83" s="36">
        <v>9500</v>
      </c>
      <c r="AA83" s="55">
        <f t="shared" si="205"/>
        <v>593.75</v>
      </c>
      <c r="AB83" s="36">
        <v>35</v>
      </c>
      <c r="AC83" s="55">
        <f t="shared" si="73"/>
        <v>300</v>
      </c>
      <c r="AD83" s="36">
        <f t="shared" si="206"/>
        <v>35</v>
      </c>
      <c r="AE83" s="36">
        <v>4200</v>
      </c>
      <c r="AF83" s="1"/>
      <c r="AG83" s="29" t="s">
        <v>72</v>
      </c>
      <c r="AH83" s="36" t="s">
        <v>257</v>
      </c>
      <c r="AI83" s="36">
        <v>245</v>
      </c>
      <c r="AJ83" s="36">
        <v>80</v>
      </c>
      <c r="AK83" s="36">
        <v>10300</v>
      </c>
      <c r="AL83" s="1"/>
      <c r="AM83" s="66" t="s">
        <v>20</v>
      </c>
      <c r="AN83" s="29">
        <v>90</v>
      </c>
      <c r="AO83" s="36">
        <v>300</v>
      </c>
      <c r="AP83" s="68" t="s">
        <v>14</v>
      </c>
      <c r="AQ83" s="1"/>
      <c r="AR83" s="29">
        <v>210</v>
      </c>
      <c r="AS83" s="36">
        <v>420</v>
      </c>
      <c r="AT83" s="55">
        <f t="shared" si="208"/>
        <v>710</v>
      </c>
      <c r="AU83" s="1"/>
      <c r="AV83" s="79">
        <f t="shared" si="196"/>
        <v>0.05</v>
      </c>
      <c r="AW83" s="82">
        <f t="shared" si="197"/>
        <v>0.1</v>
      </c>
      <c r="AX83" s="85">
        <f t="shared" si="198"/>
        <v>23.141630435987377</v>
      </c>
      <c r="AY83" s="88">
        <f t="shared" si="149"/>
        <v>12</v>
      </c>
      <c r="AZ83" s="91">
        <f t="shared" si="150"/>
        <v>0.53</v>
      </c>
      <c r="BA83" s="36">
        <v>1.21</v>
      </c>
      <c r="BB83" s="36">
        <v>80</v>
      </c>
      <c r="BC83" s="55">
        <f t="shared" si="151"/>
        <v>28736.091082236948</v>
      </c>
      <c r="BD83" s="88">
        <f t="shared" si="152"/>
        <v>84.613737023227827</v>
      </c>
      <c r="BE83" s="88">
        <f t="shared" si="153"/>
        <v>133.91577627410476</v>
      </c>
      <c r="BF83" s="58">
        <f t="shared" si="154"/>
        <v>298.52951329733258</v>
      </c>
      <c r="BG83" s="4"/>
      <c r="BH83" s="8">
        <f t="shared" si="155"/>
        <v>2</v>
      </c>
      <c r="BI83" s="8">
        <f t="shared" si="156"/>
        <v>1</v>
      </c>
      <c r="BJ83" s="13">
        <f t="shared" si="157"/>
        <v>68957291.666666672</v>
      </c>
      <c r="BK83" s="12">
        <f t="shared" si="158"/>
        <v>105</v>
      </c>
      <c r="BL83" s="12">
        <f t="shared" si="199"/>
        <v>52.5</v>
      </c>
      <c r="BM83" s="12">
        <f t="shared" si="159"/>
        <v>17.5</v>
      </c>
      <c r="BN83" s="12">
        <f t="shared" si="160"/>
        <v>52.5</v>
      </c>
      <c r="BO83" s="12">
        <f t="shared" si="161"/>
        <v>87.5</v>
      </c>
      <c r="BP83" s="12">
        <f t="shared" si="162"/>
        <v>0</v>
      </c>
      <c r="BQ83" s="12">
        <f t="shared" si="163"/>
        <v>0</v>
      </c>
      <c r="BR83" s="92">
        <f t="shared" si="164"/>
        <v>814625000</v>
      </c>
      <c r="BS83" s="96">
        <f t="shared" si="200"/>
        <v>883582291.66666663</v>
      </c>
      <c r="BT83" s="99">
        <f t="shared" si="165"/>
        <v>1009820583333.3333</v>
      </c>
      <c r="BU83" s="96">
        <f t="shared" si="166"/>
        <v>665000</v>
      </c>
      <c r="BV83" s="99">
        <f t="shared" si="167"/>
        <v>201880000</v>
      </c>
      <c r="BW83" s="5"/>
      <c r="BX83" s="96">
        <f t="shared" si="168"/>
        <v>368230187641.03314</v>
      </c>
      <c r="BY83" s="99">
        <f t="shared" si="169"/>
        <v>277136693.53806603</v>
      </c>
      <c r="BZ83" s="91">
        <f t="shared" si="170"/>
        <v>1</v>
      </c>
      <c r="CA83" s="88">
        <f t="shared" si="171"/>
        <v>101.24682923040444</v>
      </c>
      <c r="CB83" s="88">
        <f t="shared" si="172"/>
        <v>73.753170769595556</v>
      </c>
      <c r="CC83" s="43">
        <f t="shared" si="201"/>
        <v>4955.0000008553261</v>
      </c>
      <c r="CD83" s="11">
        <f t="shared" si="174"/>
        <v>-8.553261068300344E-7</v>
      </c>
      <c r="CE83" s="1"/>
      <c r="CF83" s="96">
        <f t="shared" si="202"/>
        <v>263775391489.39175</v>
      </c>
      <c r="CG83" s="99">
        <f t="shared" si="203"/>
        <v>198522126.34272617</v>
      </c>
      <c r="CH83" s="106">
        <f t="shared" si="177"/>
        <v>1</v>
      </c>
      <c r="CI83" s="88">
        <f t="shared" si="178"/>
        <v>72.526432958679948</v>
      </c>
      <c r="CJ83" s="88">
        <f t="shared" si="179"/>
        <v>102.47356704132005</v>
      </c>
      <c r="CK83" s="99">
        <f t="shared" si="204"/>
        <v>4420149112830.3867</v>
      </c>
      <c r="CL83" s="21"/>
    </row>
    <row r="84" spans="1:90">
      <c r="B84" s="152"/>
      <c r="C84" s="23"/>
      <c r="D84" s="23"/>
      <c r="E84" s="30"/>
      <c r="F84" s="23"/>
      <c r="G84" s="1"/>
      <c r="H84" s="23"/>
      <c r="I84" s="23"/>
      <c r="J84" s="23"/>
      <c r="K84" s="23"/>
      <c r="L84" s="23"/>
      <c r="M84" s="23"/>
      <c r="N84" s="23"/>
      <c r="O84" s="23"/>
      <c r="P84" s="2"/>
      <c r="Q84" s="23"/>
      <c r="R84" s="23"/>
      <c r="S84" s="23"/>
      <c r="T84" s="23"/>
      <c r="U84" s="3" t="s">
        <v>75</v>
      </c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1"/>
      <c r="AG84" s="23"/>
      <c r="AH84" s="23"/>
      <c r="AI84" s="23"/>
      <c r="AJ84" s="23"/>
      <c r="AK84" s="23"/>
      <c r="AL84" s="1"/>
      <c r="AM84" s="23"/>
      <c r="AN84" s="23"/>
      <c r="AO84" s="23"/>
      <c r="AP84" s="23"/>
      <c r="AQ84" s="1"/>
      <c r="AR84" s="23"/>
      <c r="AS84" s="23"/>
      <c r="AT84" s="23"/>
      <c r="AU84" s="1"/>
      <c r="AV84" s="70"/>
      <c r="AW84" s="70"/>
      <c r="AX84" s="70"/>
      <c r="AY84" s="23"/>
      <c r="AZ84" s="23"/>
      <c r="BA84" s="23"/>
      <c r="BB84" s="23"/>
      <c r="BC84" s="23"/>
      <c r="BD84" s="23"/>
      <c r="BE84" s="23"/>
      <c r="BF84" s="23"/>
      <c r="BG84" s="4"/>
      <c r="BS84" s="23"/>
      <c r="BT84" s="23"/>
      <c r="BU84" s="23"/>
      <c r="BV84" s="23"/>
      <c r="BW84" s="5"/>
      <c r="BX84" s="23"/>
      <c r="BY84" s="23"/>
      <c r="BZ84" s="23"/>
      <c r="CA84" s="23"/>
      <c r="CB84" s="23"/>
      <c r="CE84" s="1"/>
      <c r="CF84" s="23"/>
      <c r="CG84" s="23"/>
      <c r="CH84" s="23"/>
      <c r="CI84" s="23"/>
      <c r="CJ84" s="23"/>
      <c r="CK84" s="23"/>
    </row>
    <row r="85" spans="1:90">
      <c r="F85" s="14"/>
      <c r="G85" s="1"/>
      <c r="H85" s="14"/>
      <c r="I85" s="14"/>
      <c r="J85" s="14"/>
      <c r="K85" s="14"/>
      <c r="L85" s="14"/>
      <c r="M85" s="14"/>
      <c r="N85" s="14"/>
      <c r="O85" s="14"/>
      <c r="P85" s="2"/>
      <c r="Q85" s="14"/>
      <c r="R85" s="14"/>
      <c r="S85" s="14"/>
      <c r="T85" s="14"/>
      <c r="U85" s="3" t="s">
        <v>75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"/>
      <c r="AL85" s="1"/>
      <c r="AQ85" s="1"/>
      <c r="AU85" s="1"/>
      <c r="AW85" s="15"/>
      <c r="BG85" s="4"/>
      <c r="BW85" s="5"/>
      <c r="CE85" s="1"/>
    </row>
    <row r="86" spans="1:90">
      <c r="F86" s="14"/>
      <c r="G86" s="1"/>
      <c r="H86" s="14"/>
      <c r="I86" s="14"/>
      <c r="J86" s="14"/>
      <c r="K86" s="14"/>
      <c r="L86" s="14"/>
      <c r="M86" s="14"/>
      <c r="N86" s="14"/>
      <c r="O86" s="14"/>
      <c r="P86" s="2"/>
      <c r="Q86" s="14"/>
      <c r="R86" s="14"/>
      <c r="S86" s="14"/>
      <c r="T86" s="14"/>
      <c r="U86" s="3" t="s">
        <v>75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"/>
      <c r="AL86" s="1"/>
      <c r="AQ86" s="1"/>
      <c r="AU86" s="1"/>
      <c r="BG86" s="4"/>
      <c r="BW86" s="5"/>
      <c r="CE86" s="1"/>
    </row>
    <row r="87" spans="1:90">
      <c r="F87" s="14"/>
      <c r="G87" s="1"/>
      <c r="H87" s="14"/>
      <c r="I87" s="14"/>
      <c r="J87" s="14"/>
      <c r="K87" s="14"/>
      <c r="L87" s="14"/>
      <c r="M87" s="14"/>
      <c r="N87" s="14"/>
      <c r="O87" s="14"/>
      <c r="P87" s="2"/>
      <c r="Q87" s="14"/>
      <c r="R87" s="14"/>
      <c r="S87" s="14"/>
      <c r="T87" s="14"/>
      <c r="U87" s="3" t="s">
        <v>75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"/>
      <c r="AL87" s="1"/>
      <c r="AQ87" s="1"/>
      <c r="AU87" s="1"/>
      <c r="BG87" s="4"/>
      <c r="BW87" s="5"/>
      <c r="CE87" s="1"/>
    </row>
    <row r="88" spans="1:90">
      <c r="F88" s="14"/>
      <c r="G88" s="1"/>
      <c r="H88" s="14"/>
      <c r="I88" s="14"/>
      <c r="J88" s="14"/>
      <c r="K88" s="14"/>
      <c r="L88" s="14"/>
      <c r="M88" s="14"/>
      <c r="N88" s="14"/>
      <c r="O88" s="14"/>
      <c r="P88" s="2"/>
      <c r="Q88" s="14"/>
      <c r="R88" s="14"/>
      <c r="S88" s="14"/>
      <c r="T88" s="14"/>
      <c r="U88" s="3" t="s">
        <v>75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"/>
      <c r="AL88" s="1"/>
      <c r="AU88" s="1"/>
      <c r="BW88" s="5"/>
      <c r="CE88" s="1"/>
    </row>
    <row r="89" spans="1:90">
      <c r="F89" s="14"/>
      <c r="G89" s="1"/>
      <c r="H89" s="14"/>
      <c r="I89" s="14"/>
      <c r="J89" s="14"/>
      <c r="K89" s="14"/>
      <c r="L89" s="14"/>
      <c r="M89" s="14"/>
      <c r="N89" s="14"/>
      <c r="O89" s="14"/>
      <c r="P89" s="2"/>
      <c r="Q89" s="14"/>
      <c r="R89" s="14"/>
      <c r="S89" s="14"/>
      <c r="T89" s="14"/>
      <c r="U89" s="3" t="s">
        <v>75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"/>
      <c r="AL89" s="1"/>
      <c r="AU89" s="1"/>
      <c r="BW89" s="5"/>
      <c r="CE89" s="1"/>
    </row>
    <row r="90" spans="1:90">
      <c r="F90" s="14"/>
      <c r="G90" s="1"/>
      <c r="H90" s="14"/>
      <c r="I90" s="14"/>
      <c r="J90" s="14"/>
      <c r="K90" s="14"/>
      <c r="L90" s="14"/>
      <c r="M90" s="14"/>
      <c r="N90" s="14"/>
      <c r="O90" s="14"/>
      <c r="P90" s="2"/>
      <c r="Q90" s="14"/>
      <c r="R90" s="14"/>
      <c r="S90" s="14"/>
      <c r="T90" s="14"/>
      <c r="U90" s="3" t="s">
        <v>75</v>
      </c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"/>
      <c r="AL90" s="1"/>
      <c r="AU90" s="1"/>
      <c r="BW90" s="5"/>
      <c r="CE90" s="1"/>
    </row>
    <row r="91" spans="1:90">
      <c r="F91" s="14"/>
      <c r="G91" s="1"/>
      <c r="H91" s="14"/>
      <c r="I91" s="14"/>
      <c r="J91" s="14"/>
      <c r="K91" s="14"/>
      <c r="L91" s="14"/>
      <c r="M91" s="14"/>
      <c r="N91" s="14"/>
      <c r="O91" s="14"/>
      <c r="P91" s="2"/>
      <c r="Q91" s="14"/>
      <c r="R91" s="14"/>
      <c r="S91" s="14"/>
      <c r="T91" s="14"/>
      <c r="U91" s="3" t="s">
        <v>75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"/>
      <c r="AL91" s="1"/>
      <c r="AU91" s="1"/>
      <c r="BW91" s="5"/>
      <c r="CE91" s="1"/>
    </row>
    <row r="92" spans="1:90">
      <c r="F92" s="14"/>
      <c r="G92" s="1"/>
      <c r="H92" s="14"/>
      <c r="I92" s="14"/>
      <c r="J92" s="14"/>
      <c r="K92" s="14"/>
      <c r="L92" s="14"/>
      <c r="M92" s="14"/>
      <c r="N92" s="14"/>
      <c r="O92" s="14"/>
      <c r="P92" s="2"/>
      <c r="Q92" s="14"/>
      <c r="R92" s="14"/>
      <c r="S92" s="14"/>
      <c r="T92" s="14"/>
      <c r="U92" s="3" t="s">
        <v>75</v>
      </c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"/>
      <c r="AL92" s="1"/>
      <c r="AU92" s="1"/>
      <c r="BW92" s="5"/>
      <c r="CE92" s="1"/>
    </row>
    <row r="93" spans="1:90">
      <c r="F93" s="14"/>
      <c r="G93" s="1"/>
      <c r="H93" s="14"/>
      <c r="I93" s="14"/>
      <c r="J93" s="14"/>
      <c r="K93" s="14"/>
      <c r="L93" s="14"/>
      <c r="M93" s="14"/>
      <c r="N93" s="14"/>
      <c r="O93" s="14"/>
      <c r="P93" s="2"/>
      <c r="Q93" s="14"/>
      <c r="R93" s="14"/>
      <c r="S93" s="14"/>
      <c r="T93" s="14"/>
      <c r="U93" s="3" t="s">
        <v>75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"/>
      <c r="AL93" s="1"/>
      <c r="AU93" s="1"/>
      <c r="BW93" s="5"/>
      <c r="CE93" s="1"/>
    </row>
    <row r="94" spans="1:90">
      <c r="F94" s="14"/>
      <c r="G94" s="1"/>
      <c r="H94" s="14"/>
      <c r="I94" s="14"/>
      <c r="J94" s="14"/>
      <c r="K94" s="14"/>
      <c r="L94" s="14"/>
      <c r="M94" s="14"/>
      <c r="N94" s="14"/>
      <c r="O94" s="14"/>
      <c r="P94" s="2"/>
      <c r="Q94" s="14"/>
      <c r="R94" s="14"/>
      <c r="S94" s="14"/>
      <c r="T94" s="14"/>
      <c r="U94" s="3" t="s">
        <v>75</v>
      </c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"/>
      <c r="AL94" s="1"/>
      <c r="AU94" s="1"/>
      <c r="BW94" s="5"/>
      <c r="CE94" s="1"/>
    </row>
    <row r="95" spans="1:90">
      <c r="F95" s="14"/>
      <c r="G95" s="1"/>
      <c r="H95" s="14"/>
      <c r="I95" s="14"/>
      <c r="J95" s="14"/>
      <c r="K95" s="14"/>
      <c r="L95" s="14"/>
      <c r="M95" s="14"/>
      <c r="N95" s="14"/>
      <c r="O95" s="14"/>
      <c r="P95" s="2"/>
      <c r="Q95" s="14"/>
      <c r="R95" s="14"/>
      <c r="S95" s="14"/>
      <c r="T95" s="14"/>
      <c r="U95" s="3" t="s">
        <v>75</v>
      </c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"/>
      <c r="AL95" s="1"/>
      <c r="AU95" s="1"/>
      <c r="BW95" s="5"/>
      <c r="CE95" s="1"/>
    </row>
    <row r="96" spans="1:90">
      <c r="F96" s="14"/>
      <c r="G96" s="1"/>
      <c r="H96" s="14"/>
      <c r="I96" s="14"/>
      <c r="J96" s="14"/>
      <c r="K96" s="14"/>
      <c r="L96" s="14"/>
      <c r="M96" s="14"/>
      <c r="N96" s="14"/>
      <c r="O96" s="14"/>
      <c r="P96" s="2"/>
      <c r="Q96" s="14"/>
      <c r="R96" s="14"/>
      <c r="S96" s="14"/>
      <c r="T96" s="14"/>
      <c r="U96" s="3" t="s">
        <v>75</v>
      </c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"/>
      <c r="AL96" s="1"/>
      <c r="AU96" s="1"/>
      <c r="BW96" s="5"/>
      <c r="CE96" s="1"/>
    </row>
    <row r="97" spans="6:83">
      <c r="F97" s="14"/>
      <c r="G97" s="1"/>
      <c r="H97" s="14"/>
      <c r="I97" s="14"/>
      <c r="J97" s="14"/>
      <c r="K97" s="14"/>
      <c r="L97" s="14"/>
      <c r="M97" s="14"/>
      <c r="N97" s="14"/>
      <c r="O97" s="14"/>
      <c r="P97" s="2"/>
      <c r="Q97" s="14"/>
      <c r="R97" s="14"/>
      <c r="S97" s="14"/>
      <c r="T97" s="14"/>
      <c r="U97" s="3" t="s">
        <v>75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"/>
      <c r="AL97" s="1"/>
      <c r="AU97" s="1"/>
      <c r="BW97" s="5"/>
      <c r="CE97" s="1"/>
    </row>
    <row r="98" spans="6:83">
      <c r="F98" s="14"/>
      <c r="G98" s="1"/>
      <c r="H98" s="14"/>
      <c r="I98" s="14"/>
      <c r="J98" s="14"/>
      <c r="K98" s="14"/>
      <c r="L98" s="14"/>
      <c r="M98" s="14"/>
      <c r="N98" s="14"/>
      <c r="O98" s="14"/>
      <c r="P98" s="2"/>
      <c r="Q98" s="14"/>
      <c r="R98" s="14"/>
      <c r="S98" s="14"/>
      <c r="T98" s="14"/>
      <c r="U98" s="3" t="s">
        <v>75</v>
      </c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"/>
      <c r="AL98" s="1"/>
      <c r="AU98" s="1"/>
      <c r="BW98" s="5"/>
      <c r="CE98" s="1"/>
    </row>
    <row r="99" spans="6:83">
      <c r="F99" s="14"/>
      <c r="G99" s="1"/>
      <c r="H99" s="14"/>
      <c r="I99" s="14"/>
      <c r="J99" s="14"/>
      <c r="K99" s="14"/>
      <c r="L99" s="14"/>
      <c r="M99" s="14"/>
      <c r="N99" s="14"/>
      <c r="O99" s="14"/>
      <c r="P99" s="2"/>
      <c r="Q99" s="14"/>
      <c r="R99" s="14"/>
      <c r="S99" s="14"/>
      <c r="T99" s="14"/>
      <c r="U99" s="3" t="s">
        <v>75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"/>
      <c r="AL99" s="1"/>
      <c r="AU99" s="1"/>
      <c r="BW99" s="5"/>
      <c r="CE99" s="1"/>
    </row>
    <row r="100" spans="6:83">
      <c r="F100" s="14"/>
      <c r="G100" s="1"/>
      <c r="H100" s="14"/>
      <c r="I100" s="14"/>
      <c r="J100" s="14"/>
      <c r="K100" s="14"/>
      <c r="L100" s="14"/>
      <c r="M100" s="14"/>
      <c r="N100" s="14"/>
      <c r="O100" s="14"/>
      <c r="P100" s="2"/>
      <c r="Q100" s="14"/>
      <c r="R100" s="14"/>
      <c r="S100" s="14"/>
      <c r="T100" s="14"/>
      <c r="U100" s="3" t="s">
        <v>75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"/>
      <c r="AL100" s="1"/>
      <c r="AU100" s="1"/>
      <c r="BW100" s="5"/>
      <c r="CE100" s="1"/>
    </row>
    <row r="101" spans="6:83">
      <c r="F101" s="14"/>
      <c r="G101" s="1"/>
      <c r="H101" s="14"/>
      <c r="I101" s="14"/>
      <c r="J101" s="14"/>
      <c r="K101" s="14"/>
      <c r="L101" s="14"/>
      <c r="M101" s="14"/>
      <c r="N101" s="14"/>
      <c r="O101" s="14"/>
      <c r="P101" s="2"/>
      <c r="Q101" s="14"/>
      <c r="R101" s="14"/>
      <c r="S101" s="14"/>
      <c r="T101" s="14"/>
      <c r="U101" s="3" t="s">
        <v>75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L101" s="1"/>
      <c r="AU101" s="1"/>
      <c r="BW101" s="5"/>
      <c r="CE101" s="1"/>
    </row>
    <row r="102" spans="6:83">
      <c r="F102" s="14"/>
      <c r="G102" s="1"/>
      <c r="H102" s="14"/>
      <c r="I102" s="14"/>
      <c r="J102" s="14"/>
      <c r="K102" s="14"/>
      <c r="L102" s="14"/>
      <c r="M102" s="14"/>
      <c r="N102" s="14"/>
      <c r="O102" s="14"/>
      <c r="P102" s="2"/>
      <c r="Q102" s="14"/>
      <c r="R102" s="14"/>
      <c r="S102" s="14"/>
      <c r="T102" s="14"/>
      <c r="U102" s="3" t="s">
        <v>75</v>
      </c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L102" s="1"/>
      <c r="AU102" s="1"/>
      <c r="BW102" s="5"/>
      <c r="CE102" s="1"/>
    </row>
    <row r="103" spans="6:83">
      <c r="F103" s="14"/>
      <c r="G103" s="1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3" t="s">
        <v>75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U103" s="1"/>
    </row>
    <row r="104" spans="6:83">
      <c r="F104" s="14"/>
      <c r="G104" s="1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3" t="s">
        <v>75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U104" s="1"/>
    </row>
    <row r="105" spans="6:83"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3" t="s">
        <v>75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spans="6:83"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3" t="s">
        <v>75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spans="6:83"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spans="6:83"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spans="6:83"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spans="6:83"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spans="6:83"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spans="6:83"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</sheetData>
  <mergeCells count="44">
    <mergeCell ref="C63:C68"/>
    <mergeCell ref="C69:C70"/>
    <mergeCell ref="C71:C73"/>
    <mergeCell ref="C74:C79"/>
    <mergeCell ref="C80:C83"/>
    <mergeCell ref="C28:C39"/>
    <mergeCell ref="C40:C44"/>
    <mergeCell ref="C45:C50"/>
    <mergeCell ref="C51:C55"/>
    <mergeCell ref="C56:C62"/>
    <mergeCell ref="B63:B68"/>
    <mergeCell ref="B69:B70"/>
    <mergeCell ref="B71:B73"/>
    <mergeCell ref="B74:B79"/>
    <mergeCell ref="B80:B83"/>
    <mergeCell ref="B28:B39"/>
    <mergeCell ref="B40:B44"/>
    <mergeCell ref="B45:B50"/>
    <mergeCell ref="B51:B55"/>
    <mergeCell ref="B56:B62"/>
    <mergeCell ref="B5:B10"/>
    <mergeCell ref="C5:C10"/>
    <mergeCell ref="B11:B14"/>
    <mergeCell ref="B15:B18"/>
    <mergeCell ref="B20:B26"/>
    <mergeCell ref="C15:C18"/>
    <mergeCell ref="C20:C26"/>
    <mergeCell ref="C11:C14"/>
    <mergeCell ref="H2:O3"/>
    <mergeCell ref="AM2:AP3"/>
    <mergeCell ref="BS2:BT3"/>
    <mergeCell ref="Q3:R3"/>
    <mergeCell ref="BH2:BR3"/>
    <mergeCell ref="AV2:BF3"/>
    <mergeCell ref="S3:T3"/>
    <mergeCell ref="Q2:T2"/>
    <mergeCell ref="V2:AE3"/>
    <mergeCell ref="AG2:AK3"/>
    <mergeCell ref="BU2:BV3"/>
    <mergeCell ref="BX2:CB3"/>
    <mergeCell ref="CC2:CD3"/>
    <mergeCell ref="CF2:CK3"/>
    <mergeCell ref="AR4:AS4"/>
    <mergeCell ref="AR2:AT3"/>
  </mergeCells>
  <phoneticPr fontId="7" type="noConversion"/>
  <pageMargins left="0.7" right="0.7" top="0.75" bottom="0.75" header="0.3" footer="0.3"/>
  <pageSetup orientation="portrait" r:id="rId1"/>
  <ignoredErrors>
    <ignoredError sqref="AO12:AO13 AC19 AP23:AP24 Q29" formula="1"/>
    <ignoredError sqref="E28:E31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1b17bc-48a2-4ae8-bdd0-e1602724e675" xsi:nil="true"/>
    <lcf76f155ced4ddcb4097134ff3c332f xmlns="eb31a304-e34b-42e1-a8fd-61e5ee942a5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04F67059E9E144BFF1F641B78FBD3E" ma:contentTypeVersion="16" ma:contentTypeDescription="Create a new document." ma:contentTypeScope="" ma:versionID="cd5b52de48b95f93e0fd9cc07c838138">
  <xsd:schema xmlns:xsd="http://www.w3.org/2001/XMLSchema" xmlns:xs="http://www.w3.org/2001/XMLSchema" xmlns:p="http://schemas.microsoft.com/office/2006/metadata/properties" xmlns:ns2="a01b17bc-48a2-4ae8-bdd0-e1602724e675" xmlns:ns3="eb31a304-e34b-42e1-a8fd-61e5ee942a5b" targetNamespace="http://schemas.microsoft.com/office/2006/metadata/properties" ma:root="true" ma:fieldsID="425ad4de909a166cc4ef9ad9750141d5" ns2:_="" ns3:_="">
    <xsd:import namespace="a01b17bc-48a2-4ae8-bdd0-e1602724e675"/>
    <xsd:import namespace="eb31a304-e34b-42e1-a8fd-61e5ee942a5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b17bc-48a2-4ae8-bdd0-e1602724e6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7afafbd-63fc-4eb9-8224-c1c4dd5d5bd1}" ma:internalName="TaxCatchAll" ma:showField="CatchAllData" ma:web="a01b17bc-48a2-4ae8-bdd0-e1602724e6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1a304-e34b-42e1-a8fd-61e5ee942a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BC7C76-5748-4D4A-BDD6-6E71CD19A65D}">
  <ds:schemaRefs>
    <ds:schemaRef ds:uri="http://purl.org/dc/dcmitype/"/>
    <ds:schemaRef ds:uri="http://purl.org/dc/terms/"/>
    <ds:schemaRef ds:uri="eb31a304-e34b-42e1-a8fd-61e5ee942a5b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01b17bc-48a2-4ae8-bdd0-e1602724e67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7EABFD5-E101-4697-9264-A92E618BAB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264B81-758B-4D77-BAD9-710B2B040A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1b17bc-48a2-4ae8-bdd0-e1602724e675"/>
    <ds:schemaRef ds:uri="eb31a304-e34b-42e1-a8fd-61e5ee942a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TTC 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Israel Castro</dc:creator>
  <cp:keywords/>
  <dc:description/>
  <cp:lastModifiedBy>Aryan Rezaei Rad</cp:lastModifiedBy>
  <cp:revision/>
  <dcterms:created xsi:type="dcterms:W3CDTF">2025-09-20T05:53:16Z</dcterms:created>
  <dcterms:modified xsi:type="dcterms:W3CDTF">2026-07-24T19:56:13Z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0x0101008F04F67059E9E144BFF1F641B78FBD3E</vt:lpwstr>
  </property>
  <property fmtid="{D5CDD505-2E9C-101B-9397-08002B2CF9AE}" pid="3" name="MediaServiceImageTags">
    <vt:lpwstr/>
  </property>
</Properties>
</file>